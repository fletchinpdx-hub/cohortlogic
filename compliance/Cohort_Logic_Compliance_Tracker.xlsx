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  <font>
      <name val="Arial"/>
      <color rgb="0044546A"/>
      <sz val="10"/>
    </font>
    <font>
      <name val="Arial"/>
      <sz val="10"/>
    </font>
    <font>
      <name val="Arial"/>
      <b val="1"/>
      <color rgb="008a6a18"/>
      <sz val="10"/>
    </font>
    <font>
      <name val="Arial"/>
      <b val="1"/>
      <color rgb="0044546A"/>
      <sz val="10"/>
    </font>
  </fonts>
  <fills count="1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EF0F2"/>
      </patternFill>
    </fill>
    <fill>
      <patternFill patternType="solid">
        <fgColor rgb="00FBF3D9"/>
      </patternFill>
    </fill>
    <fill>
      <patternFill patternType="solid">
        <fgColor rgb="00E7E9EC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8" fillId="10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center"/>
    </xf>
    <xf numFmtId="9" fontId="17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16" fillId="9" borderId="1" applyAlignment="1" pivotButton="0" quotePrefix="0" xfId="0">
      <alignment horizontal="center" vertical="top"/>
    </xf>
    <xf numFmtId="0" fontId="17" fillId="0" borderId="1" applyAlignment="1" pivotButton="0" quotePrefix="0" xfId="0">
      <alignment vertical="top" wrapText="1"/>
    </xf>
    <xf numFmtId="0" fontId="19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2" ht="44" customHeight="1">
      <c r="B2" s="26" t="inlineStr">
        <is>
          <t>SCOPE (2026-07-21): Launching Class Builder + Schedule Builder only (browser-only, no student data stored). CICO + Referral Tracking = Phase 2. Each item is tagged Phase 1 / Phase 2. See compliance/16_Go_To_Market_Scope.md.</t>
        </is>
      </c>
    </row>
    <row r="4" ht="45" customHeight="1">
      <c r="B4" s="2" t="inlineStr">
        <is>
          <t>Purpose</t>
        </is>
      </c>
    </row>
    <row r="5">
      <c r="B5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7" ht="30" customHeight="1">
      <c r="B7" s="2" t="inlineStr">
        <is>
          <t>How the tabs work</t>
        </is>
      </c>
    </row>
    <row r="8" ht="30" customHeight="1">
      <c r="B8" s="3" t="inlineStr">
        <is>
          <t>•  Dashboard — live rollup: how many items per workstream are done / in progress / not started, and how many P0 (must-have) items remain.</t>
        </is>
      </c>
    </row>
    <row r="9" ht="30" customHeight="1">
      <c r="B9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10">
      <c r="B10" s="3" t="inlineStr">
        <is>
          <t>•  School Vendor Q&amp;A — the recurring questions procurement/IT send, each with a prepared answer, the evidence, and a readiness rating (Ready / Partial / Gap).</t>
        </is>
      </c>
    </row>
    <row r="12" ht="60" customHeight="1">
      <c r="B12" s="2" t="inlineStr">
        <is>
          <t>How we'll manage it</t>
        </is>
      </c>
    </row>
    <row r="13">
      <c r="B13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5" ht="30" customHeight="1">
      <c r="B15" s="2" t="inlineStr">
        <is>
          <t>Status values (dropdowns)</t>
        </is>
      </c>
    </row>
    <row r="16">
      <c r="B16" s="3" t="inlineStr">
        <is>
          <t>Checklists: Not started · In progress · Blocked · Done · N/A          Vendor Q&amp;A: Ready · Partial · Gap</t>
        </is>
      </c>
    </row>
    <row r="17">
      <c r="B17" s="3" t="inlineStr">
        <is>
          <t>Priority: P0 = must-have before selling · P1 = needed early · P2 = important, can follow</t>
        </is>
      </c>
    </row>
    <row r="19" ht="75" customHeight="1">
      <c r="B19" s="2" t="inlineStr">
        <is>
          <t>The fastest path to a sellable posture (suggested first moves)</t>
        </is>
      </c>
    </row>
    <row r="20">
      <c r="B20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2" ht="60" customHeight="1">
      <c r="B22" s="4" t="inlineStr">
        <is>
          <t>Important disclaimer</t>
        </is>
      </c>
    </row>
    <row r="23">
      <c r="B23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5">
      <c r="B25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  <row r="16" ht="22" customHeight="1">
      <c r="A16" s="27" t="inlineStr">
        <is>
          <t>Phase 1 launch focus — Class Builder + Schedule Builder (no student data stored)</t>
        </is>
      </c>
    </row>
    <row r="17">
      <c r="A17" s="9" t="inlineStr">
        <is>
          <t>Phase 1 items</t>
        </is>
      </c>
      <c r="B17" s="9" t="inlineStr">
        <is>
          <t>Done</t>
        </is>
      </c>
      <c r="C17" s="9" t="inlineStr">
        <is>
          <t>In progress</t>
        </is>
      </c>
      <c r="D17" s="9" t="inlineStr">
        <is>
          <t>Not started</t>
        </is>
      </c>
      <c r="E17" s="9" t="inlineStr">
        <is>
          <t>% Phase 1 done</t>
        </is>
      </c>
    </row>
    <row r="18" ht="20" customHeight="1">
      <c r="A18" s="28">
        <f>COUNTIF('FERPA &amp; Privacy'!$J$4:$J$200,"Phase 1")+COUNTIF('Security &amp; Infra'!$J$4:$J$200,"Phase 1")+COUNTIF('Business &amp; Insurance'!$J$4:$J$200,"Phase 1")+COUNTIF('Product &amp; Go-Live'!$J$4:$J$200,"Phase 1")</f>
        <v/>
      </c>
      <c r="B18" s="28">
        <f>COUNTIFS('FERPA &amp; Privacy'!$J$4:$J$200,"Phase 1",'FERPA &amp; Privacy'!$F$4:$F$200,"Done")+COUNTIFS('Security &amp; Infra'!$J$4:$J$200,"Phase 1",'Security &amp; Infra'!$F$4:$F$200,"Done")+COUNTIFS('Business &amp; Insurance'!$J$4:$J$200,"Phase 1",'Business &amp; Insurance'!$F$4:$F$200,"Done")+COUNTIFS('Product &amp; Go-Live'!$J$4:$J$200,"Phase 1",'Product &amp; Go-Live'!$F$4:$F$200,"Done")</f>
        <v/>
      </c>
      <c r="C18" s="28">
        <f>COUNTIFS('FERPA &amp; Privacy'!$J$4:$J$200,"Phase 1",'FERPA &amp; Privacy'!$F$4:$F$200,"In progress")+COUNTIFS('Security &amp; Infra'!$J$4:$J$200,"Phase 1",'Security &amp; Infra'!$F$4:$F$200,"In progress")+COUNTIFS('Business &amp; Insurance'!$J$4:$J$200,"Phase 1",'Business &amp; Insurance'!$F$4:$F$200,"In progress")+COUNTIFS('Product &amp; Go-Live'!$J$4:$J$200,"Phase 1",'Product &amp; Go-Live'!$F$4:$F$200,"In progress")</f>
        <v/>
      </c>
      <c r="D18" s="28">
        <f>COUNTIFS('FERPA &amp; Privacy'!$J$4:$J$200,"Phase 1",'FERPA &amp; Privacy'!$F$4:$F$200,"Not started")+COUNTIFS('Security &amp; Infra'!$J$4:$J$200,"Phase 1",'Security &amp; Infra'!$F$4:$F$200,"Not started")+COUNTIFS('Business &amp; Insurance'!$J$4:$J$200,"Phase 1",'Business &amp; Insurance'!$F$4:$F$200,"Not started")+COUNTIFS('Product &amp; Go-Live'!$J$4:$J$200,"Phase 1",'Product &amp; Go-Live'!$F$4:$F$200,"Not started")</f>
        <v/>
      </c>
      <c r="E18" s="29">
        <f>IFERROR(B18/A18,0)</f>
        <v/>
      </c>
    </row>
    <row r="19">
      <c r="A19" s="22" t="inlineStr">
        <is>
          <t>Phase 2 (CICO / Referral Tracking) is deferred until product-market fit — see the Go-To-Market Scope memo (compliance/16).</t>
        </is>
      </c>
    </row>
  </sheetData>
  <mergeCells count="6">
    <mergeCell ref="B14:G14"/>
    <mergeCell ref="A2:H2"/>
    <mergeCell ref="A16:G16"/>
    <mergeCell ref="A1:H1"/>
    <mergeCell ref="A19:G19"/>
    <mergeCell ref="A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  <c r="J4" s="30" t="inlineStr">
        <is>
          <t>Phase 1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Signable short-form DPA at compliance/22_...; readiness/NDPA context in 07_. Attorney review before use.</t>
        </is>
      </c>
      <c r="J5" s="31" t="inlineStr">
        <is>
          <t>Phase 1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  <c r="J6" s="30" t="inlineStr">
        <is>
          <t>Phase 1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  <c r="J7" s="31" t="inlineStr">
        <is>
          <t>Phase 1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  <c r="J8" s="30" t="inlineStr">
        <is>
          <t>Phase 1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  <c r="J9" s="31" t="inlineStr">
        <is>
          <t>Phase 1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at compliance/02_...; wipeSchoolData() now does a FULL FK-safe wipe (roster+CICO+referrals) — fixed 2026-07-21. Remaining: set [DECIDE] windows + offboarding SOP.</t>
        </is>
      </c>
      <c r="J10" s="30" t="inlineStr">
        <is>
          <t>Phase 1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compliance/17_Privacy_Policy_Phase1_LAUNCH.md (lean, no student data); 08 kept as Phase-2 baseline. Attorney review then port.</t>
        </is>
      </c>
      <c r="J11" s="31" t="inlineStr">
        <is>
          <t>Phase 1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  <c r="J12" s="32" t="inlineStr">
        <is>
          <t>Phase 2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  <c r="J13" s="32" t="inlineStr">
        <is>
          <t>Phase 2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  <c r="J14" s="32" t="inlineStr">
        <is>
          <t>Phase 2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  <c r="J15" s="32" t="inlineStr">
        <is>
          <t>Phase 2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Runbook drafted at compliance/14_Data_Request_Runbook.md — set turnaround + privacy@ intake.</t>
        </is>
      </c>
      <c r="J16" s="32" t="inlineStr">
        <is>
          <t>Phase 2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  <c r="J17" s="31" t="inlineStr">
        <is>
          <t>Phase 1</t>
        </is>
      </c>
    </row>
    <row r="18" ht="42" customHeight="1">
      <c r="A18" s="33" t="inlineStr">
        <is>
          <t>FE-15</t>
        </is>
      </c>
      <c r="B18" s="33" t="inlineStr">
        <is>
          <t>Deletion</t>
        </is>
      </c>
      <c r="C18" s="33" t="inlineStr">
        <is>
          <t>Decide &amp; implement per-school audit_log purge/anonymization on full school offboarding.</t>
        </is>
      </c>
      <c r="D18" s="33" t="inlineStr">
        <is>
          <t>audit_log has no school_id and its old_data/new_data can embed student rows; the per-school wipe cannot filter it, so student-data snapshots persist after a wipe.</t>
        </is>
      </c>
      <c r="E18" s="34" t="inlineStr">
        <is>
          <t>P2</t>
        </is>
      </c>
      <c r="F18" s="35" t="inlineStr">
        <is>
          <t>Not started</t>
        </is>
      </c>
      <c r="G18" s="33" t="inlineStr">
        <is>
          <t>Michael + Claude</t>
        </is>
      </c>
      <c r="H18" s="33" t="inlineStr">
        <is>
          <t>FE-07</t>
        </is>
      </c>
      <c r="I18" s="33" t="inlineStr">
        <is>
          <t>Add school_id to audit_log OR sweep by record_id during offboarding; document in the offboarding SOP.</t>
        </is>
      </c>
      <c r="J18" s="32" t="inlineStr">
        <is>
          <t>Phase 2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  <c r="J4" s="30" t="inlineStr">
        <is>
          <t>Phase 1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  <c r="J5" s="31" t="inlineStr">
        <is>
          <t>Phase 1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  <c r="J6" s="30" t="inlineStr">
        <is>
          <t>Phase 1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  <c r="J7" s="31" t="inlineStr">
        <is>
          <t>Phase 1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  <c r="J8" s="30" t="inlineStr">
        <is>
          <t>Phase 1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  <c r="J9" s="31" t="inlineStr">
        <is>
          <t>Phase 1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  <c r="J10" s="30" t="inlineStr">
        <is>
          <t>Phase 1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  <c r="J11" s="31" t="inlineStr">
        <is>
          <t>Phase 1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  <c r="J12" s="30" t="inlineStr">
        <is>
          <t>Phase 1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  <c r="J13" s="32" t="inlineStr">
        <is>
          <t>Phase 2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  <c r="J14" s="30" t="inlineStr">
        <is>
          <t>Phase 1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  <c r="J15" s="31" t="inlineStr">
        <is>
          <t>Phase 1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SE-08</t>
        </is>
      </c>
      <c r="I16" s="24" t="inlineStr">
        <is>
          <t>BC/DR plan drafted at compliance/12_Business_Continuity_and_DR_Plan.md — set RPO/RTO; depends on Supabase Pro (SE-07).</t>
        </is>
      </c>
      <c r="J16" s="30" t="inlineStr">
        <is>
          <t>Phase 1</t>
        </is>
      </c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  <c r="J17" s="31" t="inlineStr">
        <is>
          <t>Phase 1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  <c r="J18" s="30" t="inlineStr">
        <is>
          <t>Phase 1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Secrets policy drafted at compliance/13_Secrets_Management.md.</t>
        </is>
      </c>
      <c r="J19" s="31" t="inlineStr">
        <is>
          <t>Phase 1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  <c r="J20" s="32" t="inlineStr">
        <is>
          <t>Phase 2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  <c r="J21" s="31" t="inlineStr">
        <is>
          <t>Phase 1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  <col width="10" customWidth="1" min="8" max="8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  <c r="H3" s="9" t="inlineStr">
        <is>
          <t>Phase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Entity = Cohort Logic, LLC (confirmed). Document EIN/W-9; fix footer 'PBC'-&gt;'LLC' in website batch.</t>
        </is>
      </c>
      <c r="H4" s="30" t="inlineStr">
        <is>
          <t>Phase 1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Ready</t>
        </is>
      </c>
      <c r="G5" s="25" t="inlineStr">
        <is>
          <t>Launch products store NO student data server-side (only staff accounts + anonymous analytics) — clean answer; see 17_/18_.</t>
        </is>
      </c>
      <c r="H5" s="31" t="inlineStr">
        <is>
          <t>Phase 1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  <c r="H6" s="30" t="inlineStr">
        <is>
          <t>Phase 1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  <c r="H7" s="31" t="inlineStr">
        <is>
          <t>Phase 1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  <c r="H8" s="30" t="inlineStr">
        <is>
          <t>Phase 1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  <c r="H9" s="31" t="inlineStr">
        <is>
          <t>Phase 1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  <c r="H10" s="30" t="inlineStr">
        <is>
          <t>Phase 1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  <c r="H11" s="32" t="inlineStr">
        <is>
          <t>Phase 2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  <c r="H12" s="30" t="inlineStr">
        <is>
          <t>Phase 1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  <c r="H13" s="31" t="inlineStr">
        <is>
          <t>Phase 1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Partial</t>
        </is>
      </c>
      <c r="G14" s="24" t="inlineStr">
        <is>
          <t>Michael obtaining cyber + E&amp;O coverage; keep COI ready once bound (BI-04/05/07).</t>
        </is>
      </c>
      <c r="H14" s="30" t="inlineStr">
        <is>
          <t>Phase 1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  <c r="H15" s="32" t="inlineStr">
        <is>
          <t>Phase 2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  <c r="H16" s="30" t="inlineStr">
        <is>
          <t>Phase 1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  <c r="H17" s="32" t="inlineStr">
        <is>
          <t>Phase 2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  <c r="H18" s="30" t="inlineStr">
        <is>
          <t>Phase 1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  <c r="H19" s="31" t="inlineStr">
        <is>
          <t>Phase 1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Explicit no-sale/no-ads/no-secondary-use in privacy draft (08_...); finalize + attorney review.</t>
        </is>
      </c>
      <c r="H20" s="30" t="inlineStr">
        <is>
          <t>Phase 1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  <c r="H21" s="31" t="inlineStr">
        <is>
          <t>Phase 1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2">
    <dataValidation sqref="F4:F200" showDropDown="0" showInputMessage="0" showErrorMessage="0" allowBlank="1" type="list">
      <formula1>"Ready,Partial,Gap,N/A"</formula1>
    </dataValidation>
    <dataValidation sqref="H4:H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</t>
        </is>
      </c>
      <c r="H4" s="24" t="inlineStr"/>
      <c r="I4" s="24" t="inlineStr">
        <is>
          <t>Entity = Cohort Logic, LLC (confirmed by owner). Site footers wrongly say 'PBC' on 10 pages — fix in website batch. Still: document EIN/W-9 (BI-02).</t>
        </is>
      </c>
      <c r="J4" s="30" t="inlineStr">
        <is>
          <t>Phase 1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  <c r="J5" s="31" t="inlineStr">
        <is>
          <t>Phase 1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  <c r="J6" s="30" t="inlineStr">
        <is>
          <t>Phase 1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 + Broker</t>
        </is>
      </c>
      <c r="H7" s="25" t="inlineStr"/>
      <c r="I7" s="25" t="inlineStr">
        <is>
          <t>Michael obtaining cyber liability coverage (broker).</t>
        </is>
      </c>
      <c r="J7" s="31" t="inlineStr">
        <is>
          <t>Phase 1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In progress</t>
        </is>
      </c>
      <c r="G8" s="24" t="inlineStr">
        <is>
          <t>Michael + Broker</t>
        </is>
      </c>
      <c r="H8" s="24" t="inlineStr"/>
      <c r="I8" s="24" t="inlineStr">
        <is>
          <t>Michael obtaining technology E&amp;O coverage (broker).</t>
        </is>
      </c>
      <c r="J8" s="30" t="inlineStr">
        <is>
          <t>Phase 1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In progress</t>
        </is>
      </c>
      <c r="G9" s="25" t="inlineStr">
        <is>
          <t>Michael + Broker</t>
        </is>
      </c>
      <c r="H9" s="25" t="inlineStr"/>
      <c r="I9" s="25" t="inlineStr">
        <is>
          <t>Michael obtaining general liability / BOP (broker).</t>
        </is>
      </c>
      <c r="J9" s="31" t="inlineStr">
        <is>
          <t>Phase 1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  <c r="J10" s="30" t="inlineStr">
        <is>
          <t>Phase 1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compliance/19_Terms_of_Service_Phase1_LAUNCH.md (lean, browser-only); 09 kept for Phase 2. Attorney review then port to terms.html.</t>
        </is>
      </c>
      <c r="J11" s="31" t="inlineStr">
        <is>
          <t>Phase 1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In progress</t>
        </is>
      </c>
      <c r="G12" s="24" t="inlineStr">
        <is>
          <t>Attorney</t>
        </is>
      </c>
      <c r="H12" s="24" t="inlineStr"/>
      <c r="I12" s="24" t="inlineStr">
        <is>
          <t>MSA skeleton at compliance/10_Master_Services_Agreement_SKELETON.md — attorney to draft; contract doc, not a web page.</t>
        </is>
      </c>
      <c r="J12" s="30" t="inlineStr">
        <is>
          <t>Phase 1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  <c r="J13" s="31" t="inlineStr">
        <is>
          <t>Phase 1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In progress</t>
        </is>
      </c>
      <c r="G14" s="24" t="inlineStr">
        <is>
          <t>Michael</t>
        </is>
      </c>
      <c r="H14" s="24" t="inlineStr"/>
      <c r="I14" s="24" t="inlineStr">
        <is>
          <t>AUP draft at compliance/11_Acceptable_Use_Policy_DRAFT.md.</t>
        </is>
      </c>
      <c r="J14" s="30" t="inlineStr">
        <is>
          <t>Phase 1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  <c r="J15" s="32" t="inlineStr">
        <is>
          <t>Phase 2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  <c r="J16" s="32" t="inlineStr">
        <is>
          <t>Phase 2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  <c r="J17" s="31" t="inlineStr">
        <is>
          <t>Phase 1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Claude</t>
        </is>
      </c>
      <c r="H4" s="24" t="inlineStr"/>
      <c r="I4" s="24" t="inlineStr">
        <is>
          <t>Implementation plan at compliance/21_Stripe_Billing_Plan.md (Supabase Edge Functions + Stripe Checkout). Needs pricing decision + code batch.</t>
        </is>
      </c>
      <c r="J4" s="30" t="inlineStr">
        <is>
          <t>Phase 1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  <c r="J5" s="31" t="inlineStr">
        <is>
          <t>Phase 1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  <c r="J6" s="30" t="inlineStr">
        <is>
          <t>Phase 1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  <c r="J7" s="31" t="inlineStr">
        <is>
          <t>Phase 1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  <c r="J8" s="30" t="inlineStr">
        <is>
          <t>Phase 1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  <c r="J9" s="32" t="inlineStr">
        <is>
          <t>Phase 2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  <c r="J10" s="30" t="inlineStr">
        <is>
          <t>Phase 1</t>
        </is>
      </c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  <c r="J11" s="31" t="inlineStr">
        <is>
          <t>Phase 1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  <c r="J12" s="30" t="inlineStr">
        <is>
          <t>Phase 1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LAUNCH version at compliance/18_Trust_Page_Phase1_LAUNCH.md (browser-only story); 15 kept for Phase 2. Port to security.html in web batch.</t>
        </is>
      </c>
      <c r="J13" s="31" t="inlineStr">
        <is>
          <t>Phase 1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2026-07-22T01:48:02Z</dcterms:modified>
</cp:coreProperties>
</file>