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  <font>
      <name val="Arial"/>
      <color rgb="0044546A"/>
      <sz val="10"/>
    </font>
    <font>
      <name val="Arial"/>
      <sz val="10"/>
    </font>
    <font>
      <name val="Arial"/>
      <b val="1"/>
      <color rgb="008a6a18"/>
      <sz val="10"/>
    </font>
  </fonts>
  <fills count="1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EF0F2"/>
      </patternFill>
    </fill>
    <fill>
      <patternFill patternType="solid">
        <fgColor rgb="00FBF3D9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8" fillId="10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6" fillId="9" borderId="1" applyAlignment="1" pivotButton="0" quotePrefix="0" xfId="0">
      <alignment horizontal="center" vertical="top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2" ht="44" customHeight="1">
      <c r="B2" s="26" t="inlineStr">
        <is>
          <t>SCOPE (2026-07-21): Launching Class Builder + Schedule Builder only (browser-only, no student data stored). CICO + Referral Tracking = Phase 2. Each item is tagged Phase 1 / Phase 2. See compliance/16_Go_To_Market_Scope.md.</t>
        </is>
      </c>
    </row>
    <row r="4" ht="45" customHeight="1">
      <c r="B4" s="2" t="inlineStr">
        <is>
          <t>Purpose</t>
        </is>
      </c>
    </row>
    <row r="5">
      <c r="B5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7" ht="30" customHeight="1">
      <c r="B7" s="2" t="inlineStr">
        <is>
          <t>How the tabs work</t>
        </is>
      </c>
    </row>
    <row r="8" ht="30" customHeight="1">
      <c r="B8" s="3" t="inlineStr">
        <is>
          <t>•  Dashboard — live rollup: how many items per workstream are done / in progress / not started, and how many P0 (must-have) items remain.</t>
        </is>
      </c>
    </row>
    <row r="9" ht="30" customHeight="1">
      <c r="B9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10">
      <c r="B10" s="3" t="inlineStr">
        <is>
          <t>•  School Vendor Q&amp;A — the recurring questions procurement/IT send, each with a prepared answer, the evidence, and a readiness rating (Ready / Partial / Gap).</t>
        </is>
      </c>
    </row>
    <row r="12" ht="60" customHeight="1">
      <c r="B12" s="2" t="inlineStr">
        <is>
          <t>How we'll manage it</t>
        </is>
      </c>
    </row>
    <row r="13">
      <c r="B13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5" ht="30" customHeight="1">
      <c r="B15" s="2" t="inlineStr">
        <is>
          <t>Status values (dropdowns)</t>
        </is>
      </c>
    </row>
    <row r="16">
      <c r="B16" s="3" t="inlineStr">
        <is>
          <t>Checklists: Not started · In progress · Blocked · Done · N/A          Vendor Q&amp;A: Ready · Partial · Gap</t>
        </is>
      </c>
    </row>
    <row r="17">
      <c r="B17" s="3" t="inlineStr">
        <is>
          <t>Priority: P0 = must-have before selling · P1 = needed early · P2 = important, can follow</t>
        </is>
      </c>
    </row>
    <row r="19" ht="75" customHeight="1">
      <c r="B19" s="2" t="inlineStr">
        <is>
          <t>The fastest path to a sellable posture (suggested first moves)</t>
        </is>
      </c>
    </row>
    <row r="20">
      <c r="B20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2" ht="60" customHeight="1">
      <c r="B22" s="4" t="inlineStr">
        <is>
          <t>Important disclaimer</t>
        </is>
      </c>
    </row>
    <row r="23">
      <c r="B23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5">
      <c r="B25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  <row r="16" ht="22" customHeight="1">
      <c r="A16" s="27" t="inlineStr">
        <is>
          <t>Phase 1 launch focus — Class Builder + Schedule Builder (no student data stored)</t>
        </is>
      </c>
    </row>
    <row r="17">
      <c r="A17" s="9" t="inlineStr">
        <is>
          <t>Phase 1 items</t>
        </is>
      </c>
      <c r="B17" s="9" t="inlineStr">
        <is>
          <t>Done</t>
        </is>
      </c>
      <c r="C17" s="9" t="inlineStr">
        <is>
          <t>In progress</t>
        </is>
      </c>
      <c r="D17" s="9" t="inlineStr">
        <is>
          <t>Not started</t>
        </is>
      </c>
      <c r="E17" s="9" t="inlineStr">
        <is>
          <t>% Phase 1 done</t>
        </is>
      </c>
    </row>
    <row r="18" ht="20" customHeight="1">
      <c r="A18" s="28">
        <f>COUNTIF('FERPA &amp; Privacy'!$J$4:$J$200,"Phase 1")+COUNTIF('Security &amp; Infra'!$J$4:$J$200,"Phase 1")+COUNTIF('Business &amp; Insurance'!$J$4:$J$200,"Phase 1")+COUNTIF('Product &amp; Go-Live'!$J$4:$J$200,"Phase 1")</f>
        <v/>
      </c>
      <c r="B18" s="28">
        <f>COUNTIFS('FERPA &amp; Privacy'!$J$4:$J$200,"Phase 1",'FERPA &amp; Privacy'!$F$4:$F$200,"Done")+COUNTIFS('Security &amp; Infra'!$J$4:$J$200,"Phase 1",'Security &amp; Infra'!$F$4:$F$200,"Done")+COUNTIFS('Business &amp; Insurance'!$J$4:$J$200,"Phase 1",'Business &amp; Insurance'!$F$4:$F$200,"Done")+COUNTIFS('Product &amp; Go-Live'!$J$4:$J$200,"Phase 1",'Product &amp; Go-Live'!$F$4:$F$200,"Done")</f>
        <v/>
      </c>
      <c r="C18" s="28">
        <f>COUNTIFS('FERPA &amp; Privacy'!$J$4:$J$200,"Phase 1",'FERPA &amp; Privacy'!$F$4:$F$200,"In progress")+COUNTIFS('Security &amp; Infra'!$J$4:$J$200,"Phase 1",'Security &amp; Infra'!$F$4:$F$200,"In progress")+COUNTIFS('Business &amp; Insurance'!$J$4:$J$200,"Phase 1",'Business &amp; Insurance'!$F$4:$F$200,"In progress")+COUNTIFS('Product &amp; Go-Live'!$J$4:$J$200,"Phase 1",'Product &amp; Go-Live'!$F$4:$F$200,"In progress")</f>
        <v/>
      </c>
      <c r="D18" s="28">
        <f>COUNTIFS('FERPA &amp; Privacy'!$J$4:$J$200,"Phase 1",'FERPA &amp; Privacy'!$F$4:$F$200,"Not started")+COUNTIFS('Security &amp; Infra'!$J$4:$J$200,"Phase 1",'Security &amp; Infra'!$F$4:$F$200,"Not started")+COUNTIFS('Business &amp; Insurance'!$J$4:$J$200,"Phase 1",'Business &amp; Insurance'!$F$4:$F$200,"Not started")+COUNTIFS('Product &amp; Go-Live'!$J$4:$J$200,"Phase 1",'Product &amp; Go-Live'!$F$4:$F$200,"Not started")</f>
        <v/>
      </c>
      <c r="E18" s="29">
        <f>IFERROR(B18/A18,0)</f>
        <v/>
      </c>
    </row>
    <row r="19">
      <c r="A19" s="22" t="inlineStr">
        <is>
          <t>Phase 2 (CICO / Referral Tracking) is deferred until product-market fit — see the Go-To-Market Scope memo (compliance/16).</t>
        </is>
      </c>
    </row>
  </sheetData>
  <mergeCells count="6">
    <mergeCell ref="B14:G14"/>
    <mergeCell ref="A2:H2"/>
    <mergeCell ref="A16:G16"/>
    <mergeCell ref="A1:H1"/>
    <mergeCell ref="A19:G19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  <c r="J4" s="30" t="inlineStr">
        <is>
          <t>Phase 1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  <c r="J5" s="31" t="inlineStr">
        <is>
          <t>Phase 1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  <c r="J6" s="30" t="inlineStr">
        <is>
          <t>Phase 1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  <c r="J7" s="31" t="inlineStr">
        <is>
          <t>Phase 1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  <c r="J8" s="30" t="inlineStr">
        <is>
          <t>Phase 1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  <c r="J9" s="31" t="inlineStr">
        <is>
          <t>Phase 1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drafted at compliance/02_Data_Retention_and_Deletion_Policy.md — set [DECIDE] windows; verify wipe covers referrals + audit_log.</t>
        </is>
      </c>
      <c r="J10" s="30" t="inlineStr">
        <is>
          <t>Phase 1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compliance/17_Privacy_Policy_Phase1_LAUNCH.md (lean, no student data); 08 kept as Phase-2 baseline. Attorney review then port.</t>
        </is>
      </c>
      <c r="J11" s="31" t="inlineStr">
        <is>
          <t>Phase 1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  <c r="J12" s="32" t="inlineStr">
        <is>
          <t>Phase 2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  <c r="J13" s="32" t="inlineStr">
        <is>
          <t>Phase 2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  <c r="J14" s="32" t="inlineStr">
        <is>
          <t>Phase 2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  <c r="J15" s="32" t="inlineStr">
        <is>
          <t>Phase 2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  <c r="J16" s="32" t="inlineStr">
        <is>
          <t>Phase 2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  <c r="J4" s="30" t="inlineStr">
        <is>
          <t>Phase 1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  <c r="J5" s="31" t="inlineStr">
        <is>
          <t>Phase 1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  <c r="J6" s="30" t="inlineStr">
        <is>
          <t>Phase 1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  <c r="J7" s="31" t="inlineStr">
        <is>
          <t>Phase 1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  <c r="J8" s="30" t="inlineStr">
        <is>
          <t>Phase 1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  <c r="J9" s="31" t="inlineStr">
        <is>
          <t>Phase 1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  <c r="J10" s="30" t="inlineStr">
        <is>
          <t>Phase 1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  <c r="J11" s="31" t="inlineStr">
        <is>
          <t>Phase 1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  <c r="J12" s="30" t="inlineStr">
        <is>
          <t>Phase 1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  <c r="J13" s="32" t="inlineStr">
        <is>
          <t>Phase 2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  <c r="J14" s="30" t="inlineStr">
        <is>
          <t>Phase 1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  <c r="J15" s="31" t="inlineStr">
        <is>
          <t>Phase 1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  <c r="J16" s="30" t="inlineStr">
        <is>
          <t>Phase 1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  <c r="J17" s="31" t="inlineStr">
        <is>
          <t>Phase 1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  <c r="J18" s="30" t="inlineStr">
        <is>
          <t>Phase 1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  <c r="J19" s="31" t="inlineStr">
        <is>
          <t>Phase 1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  <c r="J20" s="32" t="inlineStr">
        <is>
          <t>Phase 2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  <c r="J21" s="31" t="inlineStr">
        <is>
          <t>Phase 1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  <col width="10" customWidth="1" min="8" max="8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  <c r="H3" s="9" t="inlineStr">
        <is>
          <t>Phase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Confirm entity/EIN (footer 'PBC' vs LLC discrepancy) + document in one place.</t>
        </is>
      </c>
      <c r="H4" s="30" t="inlineStr">
        <is>
          <t>Phase 1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Ready</t>
        </is>
      </c>
      <c r="G5" s="25" t="inlineStr">
        <is>
          <t>Launch products store NO student data server-side (only staff accounts + anonymous analytics) — clean answer; see 17_/18_.</t>
        </is>
      </c>
      <c r="H5" s="31" t="inlineStr">
        <is>
          <t>Phase 1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  <c r="H6" s="30" t="inlineStr">
        <is>
          <t>Phase 1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  <c r="H7" s="31" t="inlineStr">
        <is>
          <t>Phase 1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  <c r="H8" s="30" t="inlineStr">
        <is>
          <t>Phase 1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  <c r="H9" s="31" t="inlineStr">
        <is>
          <t>Phase 1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  <c r="H10" s="30" t="inlineStr">
        <is>
          <t>Phase 1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  <c r="H11" s="32" t="inlineStr">
        <is>
          <t>Phase 2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  <c r="H12" s="30" t="inlineStr">
        <is>
          <t>Phase 1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  <c r="H13" s="31" t="inlineStr">
        <is>
          <t>Phase 1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  <c r="H14" s="30" t="inlineStr">
        <is>
          <t>Phase 1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  <c r="H15" s="32" t="inlineStr">
        <is>
          <t>Phase 2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  <c r="H16" s="30" t="inlineStr">
        <is>
          <t>Phase 1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  <c r="H17" s="32" t="inlineStr">
        <is>
          <t>Phase 2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  <c r="H18" s="30" t="inlineStr">
        <is>
          <t>Phase 1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  <c r="H19" s="31" t="inlineStr">
        <is>
          <t>Phase 1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  <c r="H20" s="30" t="inlineStr">
        <is>
          <t>Phase 1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  <c r="H21" s="31" t="inlineStr">
        <is>
          <t>Phase 1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2">
    <dataValidation sqref="F4:F200" showDropDown="0" showInputMessage="0" showErrorMessage="0" allowBlank="1" type="list">
      <formula1>"Ready,Partial,Gap,N/A"</formula1>
    </dataValidation>
    <dataValidation sqref="H4:H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exact legal entity — security.html footer says 'PBC', other materials imply LLC; make consistent.</t>
        </is>
      </c>
      <c r="J4" s="30" t="inlineStr">
        <is>
          <t>Phase 1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  <c r="J5" s="31" t="inlineStr">
        <is>
          <t>Phase 1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  <c r="J6" s="30" t="inlineStr">
        <is>
          <t>Phase 1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  <c r="J7" s="31" t="inlineStr">
        <is>
          <t>Phase 1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  <c r="J8" s="30" t="inlineStr">
        <is>
          <t>Phase 1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  <c r="J9" s="31" t="inlineStr">
        <is>
          <t>Phase 1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  <c r="J10" s="30" t="inlineStr">
        <is>
          <t>Phase 1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Production ToS draft at compliance/09_Terms_of_Service_DRAFT.md — replaces beta agreement; attorney review then port to terms.html.</t>
        </is>
      </c>
      <c r="J11" s="31" t="inlineStr">
        <is>
          <t>Phase 1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  <c r="J12" s="30" t="inlineStr">
        <is>
          <t>Phase 1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  <c r="J13" s="31" t="inlineStr">
        <is>
          <t>Phase 1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  <c r="J14" s="30" t="inlineStr">
        <is>
          <t>Phase 1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  <c r="J15" s="32" t="inlineStr">
        <is>
          <t>Phase 2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  <c r="J16" s="32" t="inlineStr">
        <is>
          <t>Phase 2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  <c r="J4" s="30" t="inlineStr">
        <is>
          <t>Phase 1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  <c r="J5" s="31" t="inlineStr">
        <is>
          <t>Phase 1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  <c r="J6" s="30" t="inlineStr">
        <is>
          <t>Phase 1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  <c r="J7" s="31" t="inlineStr">
        <is>
          <t>Phase 1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  <c r="J8" s="30" t="inlineStr">
        <is>
          <t>Phase 1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  <c r="J9" s="32" t="inlineStr">
        <is>
          <t>Phase 2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  <c r="J10" s="30" t="inlineStr">
        <is>
          <t>Phase 1</t>
        </is>
      </c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  <c r="J11" s="31" t="inlineStr">
        <is>
          <t>Phase 1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  <c r="J12" s="30" t="inlineStr">
        <is>
          <t>Phase 1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LAUNCH version at compliance/18_Trust_Page_Phase1_LAUNCH.md (browser-only story); 15 kept for Phase 2. Port to security.html in web batch.</t>
        </is>
      </c>
      <c r="J13" s="31" t="inlineStr">
        <is>
          <t>Phase 1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2026-07-22T01:15:40Z</dcterms:modified>
</cp:coreProperties>
</file>