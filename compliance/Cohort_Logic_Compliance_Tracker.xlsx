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FERPA &amp; Privacy" sheetId="3" state="visible" r:id="rId3"/>
    <sheet xmlns:r="http://schemas.openxmlformats.org/officeDocument/2006/relationships" name="Security &amp; Infra" sheetId="4" state="visible" r:id="rId4"/>
    <sheet xmlns:r="http://schemas.openxmlformats.org/officeDocument/2006/relationships" name="School Vendor Q&amp;A" sheetId="5" state="visible" r:id="rId5"/>
    <sheet xmlns:r="http://schemas.openxmlformats.org/officeDocument/2006/relationships" name="Business &amp; Insurance" sheetId="6" state="visible" r:id="rId6"/>
    <sheet xmlns:r="http://schemas.openxmlformats.org/officeDocument/2006/relationships" name="Product &amp; Go-L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44546A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color rgb="0044546A"/>
      <sz val="9"/>
    </font>
    <font>
      <name val="Arial"/>
      <b val="1"/>
      <color rgb="00FFFFFF"/>
      <sz val="18"/>
    </font>
    <font>
      <name val="Arial"/>
      <b val="1"/>
      <color rgb="002A9D8F"/>
      <sz val="12"/>
    </font>
    <font>
      <name val="Arial"/>
      <b val="1"/>
      <color rgb="00E9B949"/>
      <sz val="12"/>
    </font>
    <font>
      <name val="Arial"/>
      <color rgb="009C0006"/>
      <sz val="9"/>
    </font>
    <font>
      <name val="Arial"/>
      <color rgb="0044546A"/>
      <sz val="10"/>
    </font>
    <font>
      <name val="Arial"/>
      <sz val="10"/>
    </font>
    <font>
      <name val="Arial"/>
      <b val="1"/>
      <color rgb="008a6a18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9E1E8"/>
      </patternFill>
    </fill>
    <fill>
      <patternFill patternType="solid">
        <fgColor rgb="002A9D8F"/>
      </patternFill>
    </fill>
    <fill>
      <patternFill patternType="solid">
        <fgColor rgb="00F4F6F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EF0F2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9" fontId="3" fillId="2" borderId="1" applyAlignment="1" pivotButton="0" quotePrefix="0" xfId="0">
      <alignment horizontal="center"/>
    </xf>
    <xf numFmtId="0" fontId="7" fillId="4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8" fillId="10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center"/>
    </xf>
    <xf numFmtId="9" fontId="17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16" fillId="9" borderId="1" applyAlignment="1" pivotButton="0" quotePrefix="0" xfId="0">
      <alignment horizontal="center" vertical="top"/>
    </xf>
  </cellXfs>
  <cellStyles count="1">
    <cellStyle name="Normal" xfId="0" builtinId="0" hidden="0"/>
  </cellStyles>
  <dxfs count="7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6500"/>
        <sz val="10"/>
      </font>
      <fill>
        <patternFill patternType="solid">
          <f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44546A"/>
        <sz val="10"/>
      </font>
      <fill>
        <patternFill patternType="solid">
          <fgColor rgb="00E7E9EC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  <dxf>
      <font>
        <name val="Arial"/>
        <b val="1"/>
        <color rgb="0044546A"/>
        <sz val="10"/>
      </font>
      <fill>
        <patternFill patternType="solid">
          <fgColor rgb="00E7E9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40" customHeight="1">
      <c r="B1" s="1" t="inlineStr">
        <is>
          <t>Cohort Logic — Security &amp; Compliance Tracker</t>
        </is>
      </c>
    </row>
    <row r="2" ht="44" customHeight="1">
      <c r="B2" s="26" t="inlineStr">
        <is>
          <t>SCOPE (2026-07-21): Launching Class Builder + Schedule Builder only (browser-only, no student data stored). CICO + Referral Tracking = Phase 2. Each item is tagged Phase 1 / Phase 2. See compliance/16_Go_To_Market_Scope.md.</t>
        </is>
      </c>
    </row>
    <row r="3"/>
    <row r="4" ht="45" customHeight="1">
      <c r="B4" s="2" t="inlineStr">
        <is>
          <t>Purpose</t>
        </is>
      </c>
    </row>
    <row r="5">
      <c r="B5" s="3" t="inlineStr">
        <is>
          <t>A single living plan to get Cohort Logic production-ready to sell to schools nationwide — covering FERPA &amp; student-data privacy, security hardening, business/legal/insurance, the questionnaire districts will send you, and the product gaps in between.</t>
        </is>
      </c>
    </row>
    <row r="6"/>
    <row r="7" ht="30" customHeight="1">
      <c r="B7" s="2" t="inlineStr">
        <is>
          <t>How the tabs work</t>
        </is>
      </c>
    </row>
    <row r="8" ht="30" customHeight="1">
      <c r="B8" s="3" t="inlineStr">
        <is>
          <t>•  Dashboard — live rollup: how many items per workstream are done / in progress / not started, and how many P0 (must-have) items remain.</t>
        </is>
      </c>
    </row>
    <row r="9" ht="30" customHeight="1">
      <c r="B9" s="3" t="inlineStr">
        <is>
          <t>•  FERPA &amp; Privacy, Security &amp; Infra, Business &amp; Insurance, Product &amp; Go-Live — the working checklists. Each row has an ID, priority, status, owner, and next action.</t>
        </is>
      </c>
    </row>
    <row r="10">
      <c r="B10" s="3" t="inlineStr">
        <is>
          <t>•  School Vendor Q&amp;A — the recurring questions procurement/IT send, each with a prepared answer, the evidence, and a readiness rating (Ready / Partial / Gap).</t>
        </is>
      </c>
    </row>
    <row r="11"/>
    <row r="12" ht="60" customHeight="1">
      <c r="B12" s="2" t="inlineStr">
        <is>
          <t>How we'll manage it</t>
        </is>
      </c>
    </row>
    <row r="13">
      <c r="B13" s="3" t="inlineStr">
        <is>
          <t>This is the tracker I (Claude) maintain for you. Tell me things like “mark SE-07 done,” “what are my open P0 items?,” “add a task for X,” or “what do I still owe a district that just sent a questionnaire?” — and I'll update the file and re-share. IDs (FE-/SE-/VQ-/BI-/PR-) are stable handles for that.</t>
        </is>
      </c>
    </row>
    <row r="14"/>
    <row r="15" ht="30" customHeight="1">
      <c r="B15" s="2" t="inlineStr">
        <is>
          <t>Status values (dropdowns)</t>
        </is>
      </c>
    </row>
    <row r="16">
      <c r="B16" s="3" t="inlineStr">
        <is>
          <t>Checklists: Not started · In progress · Blocked · Done · N/A          Vendor Q&amp;A: Ready · Partial · Gap</t>
        </is>
      </c>
    </row>
    <row r="17">
      <c r="B17" s="3" t="inlineStr">
        <is>
          <t>Priority: P0 = must-have before selling · P1 = needed early · P2 = important, can follow</t>
        </is>
      </c>
    </row>
    <row r="18"/>
    <row r="19" ht="75" customHeight="1">
      <c r="B19" s="2" t="inlineStr">
        <is>
          <t>The fastest path to a sellable posture (suggested first moves)</t>
        </is>
      </c>
    </row>
    <row r="20">
      <c r="B20" s="3" t="inlineStr">
        <is>
          <t>1. Upgrade Supabase to Pro + verify backups (SE-07/08).   2. Sign the Supabase &amp; Cloudflare DPAs and publish a sub-processor list (FE-05).   3. Bind cyber + E&amp;O insurance (BI-04/05).   4. Get a lawyer-reviewed DPA/NDPA template and finalize ToS (FE-02/03, BI-08).   5. Write the data map, retention policy and incident-response/breach plan (FE-04/07/12, SE-12).</t>
        </is>
      </c>
    </row>
    <row r="21"/>
    <row r="22" ht="60" customHeight="1">
      <c r="B22" s="4" t="inlineStr">
        <is>
          <t>Important disclaimer</t>
        </is>
      </c>
    </row>
    <row r="23">
      <c r="B23" s="5" t="inlineStr">
        <is>
          <t>This tracker is an organizational tool, not legal, insurance, or financial advice. FERPA/state-law, contract, and insurance items must be reviewed by a licensed attorney and a licensed insurance broker before you rely on them. Rows marked “Attorney” or “Broker” as owner are flagged precisely because they need a professional.</t>
        </is>
      </c>
    </row>
    <row r="24"/>
    <row r="25">
      <c r="B25" s="6" t="inlineStr">
        <is>
          <t>Last updated by Claude: 2026-07-21</t>
        </is>
      </c>
    </row>
  </sheetData>
  <mergeCells count="1">
    <mergeCell ref="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12" customWidth="1" min="4" max="4"/>
    <col width="10" customWidth="1" min="5" max="5"/>
    <col width="9" customWidth="1" min="6" max="6"/>
    <col width="10" customWidth="1" min="7" max="7"/>
  </cols>
  <sheetData>
    <row r="1" ht="34" customHeight="1">
      <c r="A1" s="7" t="inlineStr">
        <is>
          <t>Cohort Logic — Production Readiness Dashboard</t>
        </is>
      </c>
    </row>
    <row r="2" ht="18" customHeight="1">
      <c r="A2" s="8" t="inlineStr">
        <is>
          <t>Live rollup of the workstream tabs. Counts update automatically as Status cells change.</t>
        </is>
      </c>
    </row>
    <row r="4" ht="26" customHeight="1">
      <c r="A4" s="9" t="inlineStr">
        <is>
          <t>Workstream</t>
        </is>
      </c>
      <c r="B4" s="9" t="inlineStr">
        <is>
          <t>P0 items</t>
        </is>
      </c>
      <c r="C4" s="9" t="inlineStr">
        <is>
          <t>Not started</t>
        </is>
      </c>
      <c r="D4" s="9" t="inlineStr">
        <is>
          <t>In progress</t>
        </is>
      </c>
      <c r="E4" s="9" t="inlineStr">
        <is>
          <t>Blocked</t>
        </is>
      </c>
      <c r="F4" s="9" t="inlineStr">
        <is>
          <t>Done</t>
        </is>
      </c>
      <c r="G4" s="9" t="inlineStr">
        <is>
          <t>% Done</t>
        </is>
      </c>
    </row>
    <row r="5" ht="20" customHeight="1">
      <c r="A5" s="10" t="inlineStr">
        <is>
          <t>FERPA &amp; Privacy</t>
        </is>
      </c>
      <c r="B5" s="11">
        <f>COUNTIFS('FERPA &amp; Privacy'!$E$4:$E$200,"P0")</f>
        <v/>
      </c>
      <c r="C5" s="11">
        <f>COUNTIF('FERPA &amp; Privacy'!$F$4:$F$200,"Not started")</f>
        <v/>
      </c>
      <c r="D5" s="11">
        <f>COUNTIF('FERPA &amp; Privacy'!$F$4:$F$200,"In progress")</f>
        <v/>
      </c>
      <c r="E5" s="11">
        <f>COUNTIF('FERPA &amp; Privacy'!$F$4:$F$200,"Blocked")</f>
        <v/>
      </c>
      <c r="F5" s="11">
        <f>COUNTIF('FERPA &amp; Privacy'!$F$4:$F$200,"Done")</f>
        <v/>
      </c>
      <c r="G5" s="12">
        <f>IFERROR(COUNTIF('FERPA &amp; Privacy'!$F$4:$F$200,"Done")/COUNTA('FERPA &amp; Privacy'!$F$4:$F$200),0)</f>
        <v/>
      </c>
    </row>
    <row r="6" ht="20" customHeight="1">
      <c r="A6" s="10" t="inlineStr">
        <is>
          <t>Security &amp; Infra</t>
        </is>
      </c>
      <c r="B6" s="11">
        <f>COUNTIFS('Security &amp; Infra'!$E$4:$E$200,"P0")</f>
        <v/>
      </c>
      <c r="C6" s="11">
        <f>COUNTIF('Security &amp; Infra'!$F$4:$F$200,"Not started")</f>
        <v/>
      </c>
      <c r="D6" s="11">
        <f>COUNTIF('Security &amp; Infra'!$F$4:$F$200,"In progress")</f>
        <v/>
      </c>
      <c r="E6" s="11">
        <f>COUNTIF('Security &amp; Infra'!$F$4:$F$200,"Blocked")</f>
        <v/>
      </c>
      <c r="F6" s="11">
        <f>COUNTIF('Security &amp; Infra'!$F$4:$F$200,"Done")</f>
        <v/>
      </c>
      <c r="G6" s="12">
        <f>IFERROR(COUNTIF('Security &amp; Infra'!$F$4:$F$200,"Done")/COUNTA('Security &amp; Infra'!$F$4:$F$200),0)</f>
        <v/>
      </c>
    </row>
    <row r="7" ht="20" customHeight="1">
      <c r="A7" s="10" t="inlineStr">
        <is>
          <t>Business &amp; Insurance</t>
        </is>
      </c>
      <c r="B7" s="11">
        <f>COUNTIFS('Business &amp; Insurance'!$E$4:$E$200,"P0")</f>
        <v/>
      </c>
      <c r="C7" s="11">
        <f>COUNTIF('Business &amp; Insurance'!$F$4:$F$200,"Not started")</f>
        <v/>
      </c>
      <c r="D7" s="11">
        <f>COUNTIF('Business &amp; Insurance'!$F$4:$F$200,"In progress")</f>
        <v/>
      </c>
      <c r="E7" s="11">
        <f>COUNTIF('Business &amp; Insurance'!$F$4:$F$200,"Blocked")</f>
        <v/>
      </c>
      <c r="F7" s="11">
        <f>COUNTIF('Business &amp; Insurance'!$F$4:$F$200,"Done")</f>
        <v/>
      </c>
      <c r="G7" s="12">
        <f>IFERROR(COUNTIF('Business &amp; Insurance'!$F$4:$F$200,"Done")/COUNTA('Business &amp; Insurance'!$F$4:$F$200),0)</f>
        <v/>
      </c>
    </row>
    <row r="8" ht="20" customHeight="1">
      <c r="A8" s="10" t="inlineStr">
        <is>
          <t>Product &amp; Go-Live</t>
        </is>
      </c>
      <c r="B8" s="11">
        <f>COUNTIFS('Product &amp; Go-Live'!$E$4:$E$200,"P0")</f>
        <v/>
      </c>
      <c r="C8" s="11">
        <f>COUNTIF('Product &amp; Go-Live'!$F$4:$F$200,"Not started")</f>
        <v/>
      </c>
      <c r="D8" s="11">
        <f>COUNTIF('Product &amp; Go-Live'!$F$4:$F$200,"In progress")</f>
        <v/>
      </c>
      <c r="E8" s="11">
        <f>COUNTIF('Product &amp; Go-Live'!$F$4:$F$200,"Blocked")</f>
        <v/>
      </c>
      <c r="F8" s="11">
        <f>COUNTIF('Product &amp; Go-Live'!$F$4:$F$200,"Done")</f>
        <v/>
      </c>
      <c r="G8" s="12">
        <f>IFERROR(COUNTIF('Product &amp; Go-Live'!$F$4:$F$200,"Done")/COUNTA('Product &amp; Go-Live'!$F$4:$F$200),0)</f>
        <v/>
      </c>
    </row>
    <row r="9">
      <c r="A9" s="13" t="inlineStr">
        <is>
          <t>TOTAL</t>
        </is>
      </c>
      <c r="B9" s="14">
        <f>SUM(B5:B8)</f>
        <v/>
      </c>
      <c r="C9" s="14">
        <f>SUM(C5:C8)</f>
        <v/>
      </c>
      <c r="D9" s="14">
        <f>SUM(D5:D8)</f>
        <v/>
      </c>
      <c r="E9" s="14">
        <f>SUM(E5:E8)</f>
        <v/>
      </c>
      <c r="F9" s="14">
        <f>SUM(F5:F8)</f>
        <v/>
      </c>
      <c r="G9" s="15">
        <f>IFERROR(F9/(C9+D9+E9+F9),0)</f>
        <v/>
      </c>
    </row>
    <row r="11" ht="22" customHeight="1">
      <c r="A11" s="16" t="inlineStr">
        <is>
          <t>School Vendor Questionnaire Readiness</t>
        </is>
      </c>
    </row>
    <row r="12" ht="20" customHeight="1">
      <c r="A12" s="17" t="inlineStr">
        <is>
          <t>Ready</t>
        </is>
      </c>
      <c r="B12" s="18">
        <f>COUNTIF('School Vendor Q&amp;A'!$F$4:$F$200,"Ready")</f>
        <v/>
      </c>
      <c r="C12" s="19" t="inlineStr">
        <is>
          <t>Partial</t>
        </is>
      </c>
      <c r="D12" s="18">
        <f>COUNTIF('School Vendor Q&amp;A'!$F$4:$F$200,"Partial")</f>
        <v/>
      </c>
      <c r="E12" s="20" t="inlineStr">
        <is>
          <t>Gap</t>
        </is>
      </c>
      <c r="F12" s="18">
        <f>COUNTIF('School Vendor Q&amp;A'!$F$4:$F$200,"Gap")</f>
        <v/>
      </c>
    </row>
    <row r="14">
      <c r="A14" s="21" t="inlineStr">
        <is>
          <t>Priority key:</t>
        </is>
      </c>
      <c r="B14" s="22" t="inlineStr">
        <is>
          <t>P0 = must-have before selling   |   P1 = needed early   |   P2 = important, can follow</t>
        </is>
      </c>
    </row>
    <row r="16" ht="22" customHeight="1">
      <c r="A16" s="27" t="inlineStr">
        <is>
          <t>Phase 1 launch focus — Class Builder + Schedule Builder (no student data stored)</t>
        </is>
      </c>
    </row>
    <row r="17">
      <c r="A17" s="9" t="inlineStr">
        <is>
          <t>Phase 1 items</t>
        </is>
      </c>
      <c r="B17" s="9" t="inlineStr">
        <is>
          <t>Done</t>
        </is>
      </c>
      <c r="C17" s="9" t="inlineStr">
        <is>
          <t>In progress</t>
        </is>
      </c>
      <c r="D17" s="9" t="inlineStr">
        <is>
          <t>Not started</t>
        </is>
      </c>
      <c r="E17" s="9" t="inlineStr">
        <is>
          <t>% Phase 1 done</t>
        </is>
      </c>
    </row>
    <row r="18" ht="20" customHeight="1">
      <c r="A18" s="28">
        <f>COUNTIF('FERPA &amp; Privacy'!$J$4:$J$200,"Phase 1")+COUNTIF('Security &amp; Infra'!$J$4:$J$200,"Phase 1")+COUNTIF('Business &amp; Insurance'!$J$4:$J$200,"Phase 1")+COUNTIF('Product &amp; Go-Live'!$J$4:$J$200,"Phase 1")</f>
        <v/>
      </c>
      <c r="B18" s="28">
        <f>COUNTIFS('FERPA &amp; Privacy'!$J$4:$J$200,"Phase 1",'FERPA &amp; Privacy'!$F$4:$F$200,"Done")+COUNTIFS('Security &amp; Infra'!$J$4:$J$200,"Phase 1",'Security &amp; Infra'!$F$4:$F$200,"Done")+COUNTIFS('Business &amp; Insurance'!$J$4:$J$200,"Phase 1",'Business &amp; Insurance'!$F$4:$F$200,"Done")+COUNTIFS('Product &amp; Go-Live'!$J$4:$J$200,"Phase 1",'Product &amp; Go-Live'!$F$4:$F$200,"Done")</f>
        <v/>
      </c>
      <c r="C18" s="28">
        <f>COUNTIFS('FERPA &amp; Privacy'!$J$4:$J$200,"Phase 1",'FERPA &amp; Privacy'!$F$4:$F$200,"In progress")+COUNTIFS('Security &amp; Infra'!$J$4:$J$200,"Phase 1",'Security &amp; Infra'!$F$4:$F$200,"In progress")+COUNTIFS('Business &amp; Insurance'!$J$4:$J$200,"Phase 1",'Business &amp; Insurance'!$F$4:$F$200,"In progress")+COUNTIFS('Product &amp; Go-Live'!$J$4:$J$200,"Phase 1",'Product &amp; Go-Live'!$F$4:$F$200,"In progress")</f>
        <v/>
      </c>
      <c r="D18" s="28">
        <f>COUNTIFS('FERPA &amp; Privacy'!$J$4:$J$200,"Phase 1",'FERPA &amp; Privacy'!$F$4:$F$200,"Not started")+COUNTIFS('Security &amp; Infra'!$J$4:$J$200,"Phase 1",'Security &amp; Infra'!$F$4:$F$200,"Not started")+COUNTIFS('Business &amp; Insurance'!$J$4:$J$200,"Phase 1",'Business &amp; Insurance'!$F$4:$F$200,"Not started")+COUNTIFS('Product &amp; Go-Live'!$J$4:$J$200,"Phase 1",'Product &amp; Go-Live'!$F$4:$F$200,"Not started")</f>
        <v/>
      </c>
      <c r="E18" s="29">
        <f>IFERROR(B18/A18,0)</f>
        <v/>
      </c>
    </row>
    <row r="19">
      <c r="A19" s="22" t="inlineStr">
        <is>
          <t>Phase 2 (CICO / Referral Tracking) is deferred until product-market fit — see the Go-To-Market Scope memo (compliance/16).</t>
        </is>
      </c>
    </row>
  </sheetData>
  <mergeCells count="6">
    <mergeCell ref="B14:G14"/>
    <mergeCell ref="A2:H2"/>
    <mergeCell ref="A16:G16"/>
    <mergeCell ref="A1:H1"/>
    <mergeCell ref="A19:G19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40" customWidth="1" min="4" max="4"/>
    <col width="9" customWidth="1" min="5" max="5"/>
    <col width="13" customWidth="1" min="6" max="6"/>
    <col width="18" customWidth="1" min="7" max="7"/>
    <col width="11" customWidth="1" min="8" max="8"/>
    <col width="40" customWidth="1" min="9" max="9"/>
    <col width="10" customWidth="1" min="10" max="10"/>
  </cols>
  <sheetData>
    <row r="1" ht="30" customHeight="1">
      <c r="A1" s="23" t="inlineStr">
        <is>
          <t>FERPA &amp; Student Data Privacy</t>
        </is>
      </c>
    </row>
    <row r="2" ht="20" customHeight="1">
      <c r="A2" s="8" t="inlineStr">
        <is>
          <t>Legal basis, contracts, data governance. Attorney review required where noted — this tracker is not legal advice.</t>
        </is>
      </c>
    </row>
    <row r="3" ht="28" customHeight="1">
      <c r="A3" s="9" t="inlineStr">
        <is>
          <t>ID</t>
        </is>
      </c>
      <c r="B3" s="9" t="inlineStr">
        <is>
          <t>Area</t>
        </is>
      </c>
      <c r="C3" s="9" t="inlineStr">
        <is>
          <t>Task</t>
        </is>
      </c>
      <c r="D3" s="9" t="inlineStr">
        <is>
          <t>Why it matters</t>
        </is>
      </c>
      <c r="E3" s="9" t="inlineStr">
        <is>
          <t>Priority</t>
        </is>
      </c>
      <c r="F3" s="9" t="inlineStr">
        <is>
          <t>Status</t>
        </is>
      </c>
      <c r="G3" s="9" t="inlineStr">
        <is>
          <t>Owner</t>
        </is>
      </c>
      <c r="H3" s="9" t="inlineStr">
        <is>
          <t>Depends on</t>
        </is>
      </c>
      <c r="I3" s="9" t="inlineStr">
        <is>
          <t>Next action / notes</t>
        </is>
      </c>
      <c r="J3" s="9" t="inlineStr">
        <is>
          <t>Phase</t>
        </is>
      </c>
    </row>
    <row r="4" ht="42" customHeight="1">
      <c r="A4" s="24" t="inlineStr">
        <is>
          <t>FE-01</t>
        </is>
      </c>
      <c r="B4" s="24" t="inlineStr">
        <is>
          <t>Legal basis</t>
        </is>
      </c>
      <c r="C4" s="24" t="inlineStr">
        <is>
          <t>Document the FERPA “school official” exception posture (34 CFR §99.31(a)(1)): legitimate educational interest, direct control by the school, use limited to the authorized purpose, no redisclosure.</t>
        </is>
      </c>
      <c r="D4" s="24" t="inlineStr">
        <is>
          <t>The legal basis that lets you process student PII without separate parental consent. Every district relies on it.</t>
        </is>
      </c>
      <c r="E4" s="24" t="inlineStr">
        <is>
          <t>P0</t>
        </is>
      </c>
      <c r="F4" s="24" t="inlineStr">
        <is>
          <t>In progress</t>
        </is>
      </c>
      <c r="G4" s="24" t="inlineStr">
        <is>
          <t>Michael + Attorney</t>
        </is>
      </c>
      <c r="H4" s="24" t="inlineStr"/>
      <c r="I4" s="24" t="inlineStr">
        <is>
          <t>Draft memo at compliance/03_FERPA_School_Official_Posture.md — needs attorney review.</t>
        </is>
      </c>
      <c r="J4" s="30" t="inlineStr">
        <is>
          <t>Phase 1</t>
        </is>
      </c>
    </row>
    <row r="5" ht="42" customHeight="1">
      <c r="A5" s="25" t="inlineStr">
        <is>
          <t>FE-02</t>
        </is>
      </c>
      <c r="B5" s="25" t="inlineStr">
        <is>
          <t>Contracts</t>
        </is>
      </c>
      <c r="C5" s="25" t="inlineStr">
        <is>
          <t>Create a signable Data Processing Agreement (DPA) template for schools/districts.</t>
        </is>
      </c>
      <c r="D5" s="25" t="inlineStr">
        <is>
          <t>Districts will not sign without one; it is the core of every procurement package.</t>
        </is>
      </c>
      <c r="E5" s="25" t="inlineStr">
        <is>
          <t>P0</t>
        </is>
      </c>
      <c r="F5" s="25" t="inlineStr">
        <is>
          <t>In progress</t>
        </is>
      </c>
      <c r="G5" s="25" t="inlineStr">
        <is>
          <t>Michael + Attorney</t>
        </is>
      </c>
      <c r="H5" s="25" t="inlineStr">
        <is>
          <t>FE-01</t>
        </is>
      </c>
      <c r="I5" s="25" t="inlineStr">
        <is>
          <t>DPA/NDPA readiness at compliance/07_DPA_and_NDPA_Readiness.md — attorney to produce own-paper DPA/MSA.</t>
        </is>
      </c>
      <c r="J5" s="31" t="inlineStr">
        <is>
          <t>Phase 1</t>
        </is>
      </c>
    </row>
    <row r="6" ht="42" customHeight="1">
      <c r="A6" s="24" t="inlineStr">
        <is>
          <t>FE-03</t>
        </is>
      </c>
      <c r="B6" s="24" t="inlineStr">
        <is>
          <t>Standards</t>
        </is>
      </c>
      <c r="C6" s="24" t="inlineStr">
        <is>
          <t>Adopt the SDPC National Data Privacy Agreement (NDPA) and join the Student Data Privacy Consortium.</t>
        </is>
      </c>
      <c r="D6" s="24" t="inlineStr">
        <is>
          <t>The de-facto national standard; many districts require the NDPA exhibit specifically.</t>
        </is>
      </c>
      <c r="E6" s="24" t="inlineStr">
        <is>
          <t>P0</t>
        </is>
      </c>
      <c r="F6" s="24" t="inlineStr">
        <is>
          <t>In progress</t>
        </is>
      </c>
      <c r="G6" s="24" t="inlineStr">
        <is>
          <t>Michael</t>
        </is>
      </c>
      <c r="H6" s="24" t="inlineStr">
        <is>
          <t>FE-02</t>
        </is>
      </c>
      <c r="I6" s="24" t="inlineStr">
        <is>
          <t>NDPA v2.2 plan in compliance/07_... — join SDPC, prep Exhibit A/B/F, sign Exhibit E (piggyback).</t>
        </is>
      </c>
      <c r="J6" s="30" t="inlineStr">
        <is>
          <t>Phase 1</t>
        </is>
      </c>
    </row>
    <row r="7" ht="42" customHeight="1">
      <c r="A7" s="25" t="inlineStr">
        <is>
          <t>FE-04</t>
        </is>
      </c>
      <c r="B7" s="25" t="inlineStr">
        <is>
          <t>Data map</t>
        </is>
      </c>
      <c r="C7" s="25" t="inlineStr">
        <is>
          <t>Produce a data inventory / data-flow map: every PII element collected, its purpose, storage location, access roles, and retention.</t>
        </is>
      </c>
      <c r="D7" s="25" t="inlineStr">
        <is>
          <t>Required by NY Ed Law 2-d, IL SOPPA and nearly every vendor questionnaire.</t>
        </is>
      </c>
      <c r="E7" s="25" t="inlineStr">
        <is>
          <t>P0</t>
        </is>
      </c>
      <c r="F7" s="25" t="inlineStr">
        <is>
          <t>In progress</t>
        </is>
      </c>
      <c r="G7" s="25" t="inlineStr">
        <is>
          <t>Claude</t>
        </is>
      </c>
      <c r="H7" s="25" t="inlineStr"/>
      <c r="I7" s="25" t="inlineStr">
        <is>
          <t>Data map drafted at compliance/01_Data_Inventory_and_Data_Map.md — confirm audit_log PII + Supabase US region.</t>
        </is>
      </c>
      <c r="J7" s="31" t="inlineStr">
        <is>
          <t>Phase 1</t>
        </is>
      </c>
    </row>
    <row r="8" ht="42" customHeight="1">
      <c r="A8" s="24" t="inlineStr">
        <is>
          <t>FE-05</t>
        </is>
      </c>
      <c r="B8" s="24" t="inlineStr">
        <is>
          <t>Sub-processors</t>
        </is>
      </c>
      <c r="C8" s="24" t="inlineStr">
        <is>
          <t>Publish the sub-processor list (Supabase / AWS US region, Cloudflare) and obtain each sub-processor DPA.</t>
        </is>
      </c>
      <c r="D8" s="24" t="inlineStr">
        <is>
          <t>Districts require the full chain of custody. The Supabase DPA is already an open item in the security audit.</t>
        </is>
      </c>
      <c r="E8" s="24" t="inlineStr">
        <is>
          <t>P0</t>
        </is>
      </c>
      <c r="F8" s="24" t="inlineStr">
        <is>
          <t>Not started</t>
        </is>
      </c>
      <c r="G8" s="24" t="inlineStr">
        <is>
          <t>Michael</t>
        </is>
      </c>
      <c r="H8" s="24" t="inlineStr"/>
      <c r="I8" s="24" t="inlineStr">
        <is>
          <t>Sign Supabase DPA; get Cloudflare DPA; publish list on the trust page.</t>
        </is>
      </c>
      <c r="J8" s="30" t="inlineStr">
        <is>
          <t>Phase 1</t>
        </is>
      </c>
    </row>
    <row r="9" ht="42" customHeight="1">
      <c r="A9" s="25" t="inlineStr">
        <is>
          <t>FE-06</t>
        </is>
      </c>
      <c r="B9" s="25" t="inlineStr">
        <is>
          <t>Data residency</t>
        </is>
      </c>
      <c r="C9" s="25" t="inlineStr">
        <is>
          <t>Confirm and document that all student data (DB + backups) is stored in a US region.</t>
        </is>
      </c>
      <c r="D9" s="25" t="inlineStr">
        <is>
          <t>Several states/districts require US-only storage.</t>
        </is>
      </c>
      <c r="E9" s="25" t="inlineStr">
        <is>
          <t>P0</t>
        </is>
      </c>
      <c r="F9" s="25" t="inlineStr">
        <is>
          <t>Not started</t>
        </is>
      </c>
      <c r="G9" s="25" t="inlineStr">
        <is>
          <t>Michael</t>
        </is>
      </c>
      <c r="H9" s="25" t="inlineStr"/>
      <c r="I9" s="25" t="inlineStr">
        <is>
          <t>Verify Supabase project region in the dashboard; capture attestation.</t>
        </is>
      </c>
      <c r="J9" s="31" t="inlineStr">
        <is>
          <t>Phase 1</t>
        </is>
      </c>
    </row>
    <row r="10" ht="42" customHeight="1">
      <c r="A10" s="24" t="inlineStr">
        <is>
          <t>FE-07</t>
        </is>
      </c>
      <c r="B10" s="24" t="inlineStr">
        <is>
          <t>Retention</t>
        </is>
      </c>
      <c r="C10" s="24" t="inlineStr">
        <is>
          <t>Write a data retention &amp; deletion policy; verify per-school deletion on offboarding (admin “Wipe Data” exists) covers all child tables + backups; document the parent/student deletion path via the school.</t>
        </is>
      </c>
      <c r="D10" s="24" t="inlineStr">
        <is>
          <t>FERPA + state laws require a defined retention schedule and deletion on request/termination.</t>
        </is>
      </c>
      <c r="E10" s="24" t="inlineStr">
        <is>
          <t>P0</t>
        </is>
      </c>
      <c r="F10" s="24" t="inlineStr">
        <is>
          <t>In progress</t>
        </is>
      </c>
      <c r="G10" s="24" t="inlineStr">
        <is>
          <t>Michael + Claude</t>
        </is>
      </c>
      <c r="H10" s="24" t="inlineStr">
        <is>
          <t>FE-04</t>
        </is>
      </c>
      <c r="I10" s="24" t="inlineStr">
        <is>
          <t>Policy drafted at compliance/02_Data_Retention_and_Deletion_Policy.md — set [DECIDE] windows; verify wipe covers referrals + audit_log.</t>
        </is>
      </c>
      <c r="J10" s="30" t="inlineStr">
        <is>
          <t>Phase 1</t>
        </is>
      </c>
    </row>
    <row r="11" ht="42" customHeight="1">
      <c r="A11" s="25" t="inlineStr">
        <is>
          <t>FE-08</t>
        </is>
      </c>
      <c r="B11" s="25" t="inlineStr">
        <is>
          <t>Privacy policy</t>
        </is>
      </c>
      <c r="C11" s="25" t="inlineStr">
        <is>
          <t>Attorney review of privacy.html for FERPA / COPPA / SOPIPA / NY 2-d alignment; add an explicit “no sale, no targeted advertising, no secondary use” statement.</t>
        </is>
      </c>
      <c r="D11" s="25" t="inlineStr">
        <is>
          <t>Table-stakes for schools; the current policy has not had legal review.</t>
        </is>
      </c>
      <c r="E11" s="25" t="inlineStr">
        <is>
          <t>P0</t>
        </is>
      </c>
      <c r="F11" s="25" t="inlineStr">
        <is>
          <t>In progress</t>
        </is>
      </c>
      <c r="G11" s="25" t="inlineStr">
        <is>
          <t>Attorney</t>
        </is>
      </c>
      <c r="H11" s="25" t="inlineStr"/>
      <c r="I11" s="25" t="inlineStr">
        <is>
          <t>Production draft at compliance/08_Privacy_Policy_DRAFT.md — attorney review, then port to privacy.html (fixes Netlify/Schedule/Referrals/demographics gaps).</t>
        </is>
      </c>
      <c r="J11" s="31" t="inlineStr">
        <is>
          <t>Phase 1</t>
        </is>
      </c>
    </row>
    <row r="12" ht="42" customHeight="1">
      <c r="A12" s="24" t="inlineStr">
        <is>
          <t>FE-09</t>
        </is>
      </c>
      <c r="B12" s="24" t="inlineStr">
        <is>
          <t>COPPA</t>
        </is>
      </c>
      <c r="C12" s="24" t="inlineStr">
        <is>
          <t>Document the COPPA posture for under-13 students (school acts as agent for parental consent for educational use).</t>
        </is>
      </c>
      <c r="D12" s="24" t="inlineStr">
        <is>
          <t>Behavior / CICO data on young students draws COPPA scrutiny.</t>
        </is>
      </c>
      <c r="E12" s="24" t="inlineStr">
        <is>
          <t>P1</t>
        </is>
      </c>
      <c r="F12" s="24" t="inlineStr">
        <is>
          <t>Not started</t>
        </is>
      </c>
      <c r="G12" s="24" t="inlineStr">
        <is>
          <t>Michael + Attorney</t>
        </is>
      </c>
      <c r="H12" s="24" t="inlineStr"/>
      <c r="I12" s="24" t="inlineStr">
        <is>
          <t>Reflect in privacy policy + DPA.</t>
        </is>
      </c>
      <c r="J12" s="32" t="inlineStr">
        <is>
          <t>Phase 2</t>
        </is>
      </c>
    </row>
    <row r="13" ht="42" customHeight="1">
      <c r="A13" s="25" t="inlineStr">
        <is>
          <t>FE-10</t>
        </is>
      </c>
      <c r="B13" s="25" t="inlineStr">
        <is>
          <t>State laws</t>
        </is>
      </c>
      <c r="C13" s="25" t="inlineStr">
        <is>
          <t>Compile a state student-privacy compliance matrix (start: CA SOPIPA, NY Ed Law 2-d, IL SOPPA, CO, VA, TX).</t>
        </is>
      </c>
      <c r="D13" s="25" t="inlineStr">
        <is>
          <t>Selling nationwide means multi-state obligations; NY 2-d and IL SOPPA are notably strict.</t>
        </is>
      </c>
      <c r="E13" s="25" t="inlineStr">
        <is>
          <t>P1</t>
        </is>
      </c>
      <c r="F13" s="25" t="inlineStr">
        <is>
          <t>In progress</t>
        </is>
      </c>
      <c r="G13" s="25" t="inlineStr">
        <is>
          <t>Michael + Claude</t>
        </is>
      </c>
      <c r="H13" s="25" t="inlineStr"/>
      <c r="I13" s="25" t="inlineStr">
        <is>
          <t>State matrix at compliance/06_State_Student_Privacy_Matrix.md — confirm [VERIFY] statute cites/timelines with counsel.</t>
        </is>
      </c>
      <c r="J13" s="32" t="inlineStr">
        <is>
          <t>Phase 2</t>
        </is>
      </c>
    </row>
    <row r="14" ht="42" customHeight="1">
      <c r="A14" s="24" t="inlineStr">
        <is>
          <t>FE-11</t>
        </is>
      </c>
      <c r="B14" s="24" t="inlineStr">
        <is>
          <t>NY Ed Law 2-d</t>
        </is>
      </c>
      <c r="C14" s="24" t="inlineStr">
        <is>
          <t>If targeting NY: prepare a Parents Bill of Rights and a Data Security &amp; Privacy Plan aligned to NIST CSF.</t>
        </is>
      </c>
      <c r="D14" s="24" t="inlineStr">
        <is>
          <t>NY districts legally cannot sign without these.</t>
        </is>
      </c>
      <c r="E14" s="24" t="inlineStr">
        <is>
          <t>P2</t>
        </is>
      </c>
      <c r="F14" s="24" t="inlineStr">
        <is>
          <t>Not started</t>
        </is>
      </c>
      <c r="G14" s="24" t="inlineStr">
        <is>
          <t>Michael</t>
        </is>
      </c>
      <c r="H14" s="24" t="inlineStr">
        <is>
          <t>FE-10</t>
        </is>
      </c>
      <c r="I14" s="24" t="inlineStr">
        <is>
          <t>Only if pursuing the NY market.</t>
        </is>
      </c>
      <c r="J14" s="32" t="inlineStr">
        <is>
          <t>Phase 2</t>
        </is>
      </c>
    </row>
    <row r="15" ht="42" customHeight="1">
      <c r="A15" s="25" t="inlineStr">
        <is>
          <t>FE-12</t>
        </is>
      </c>
      <c r="B15" s="25" t="inlineStr">
        <is>
          <t>Breach</t>
        </is>
      </c>
      <c r="C15" s="25" t="inlineStr">
        <is>
          <t>Document a data-breach notification process with state-law timelines and template notices.</t>
        </is>
      </c>
      <c r="D15" s="25" t="inlineStr">
        <is>
          <t>Required by contracts and many state laws (some require notice in ≤ 7 days).</t>
        </is>
      </c>
      <c r="E15" s="25" t="inlineStr">
        <is>
          <t>P0</t>
        </is>
      </c>
      <c r="F15" s="25" t="inlineStr">
        <is>
          <t>In progress</t>
        </is>
      </c>
      <c r="G15" s="25" t="inlineStr">
        <is>
          <t>Michael + Claude</t>
        </is>
      </c>
      <c r="H15" s="25" t="inlineStr"/>
      <c r="I15" s="25" t="inlineStr">
        <is>
          <t>Breach policy at compliance/05_Data_Breach_Notification_Policy.md — 72h default / 7-day hard ceiling.</t>
        </is>
      </c>
      <c r="J15" s="32" t="inlineStr">
        <is>
          <t>Phase 2</t>
        </is>
      </c>
    </row>
    <row r="16" ht="42" customHeight="1">
      <c r="A16" s="24" t="inlineStr">
        <is>
          <t>FE-13</t>
        </is>
      </c>
      <c r="B16" s="24" t="inlineStr">
        <is>
          <t>Access rights</t>
        </is>
      </c>
      <c r="C16" s="24" t="inlineStr">
        <is>
          <t>Document the process for parent/student data access &amp; correction requests, routed through the school.</t>
        </is>
      </c>
      <c r="D16" s="24" t="inlineStr">
        <is>
          <t>FERPA access and amendment rights.</t>
        </is>
      </c>
      <c r="E16" s="24" t="inlineStr">
        <is>
          <t>P1</t>
        </is>
      </c>
      <c r="F16" s="24" t="inlineStr">
        <is>
          <t>In progress</t>
        </is>
      </c>
      <c r="G16" s="24" t="inlineStr">
        <is>
          <t>Michael</t>
        </is>
      </c>
      <c r="H16" s="24" t="inlineStr">
        <is>
          <t>FE-07</t>
        </is>
      </c>
      <c r="I16" s="24" t="inlineStr">
        <is>
          <t>Runbook drafted at compliance/14_Data_Request_Runbook.md — set turnaround + privacy@ intake.</t>
        </is>
      </c>
      <c r="J16" s="32" t="inlineStr">
        <is>
          <t>Phase 2</t>
        </is>
      </c>
    </row>
    <row r="17" ht="42" customHeight="1">
      <c r="A17" s="25" t="inlineStr">
        <is>
          <t>FE-14</t>
        </is>
      </c>
      <c r="B17" s="25" t="inlineStr">
        <is>
          <t>Training</t>
        </is>
      </c>
      <c r="C17" s="25" t="inlineStr">
        <is>
          <t>Adopt an annual data-privacy &amp; security training / acknowledgement (even solo now; scales with hires).</t>
        </is>
      </c>
      <c r="D17" s="25" t="inlineStr">
        <is>
          <t>Questionnaires routinely ask about staff privacy training.</t>
        </is>
      </c>
      <c r="E17" s="25" t="inlineStr">
        <is>
          <t>P2</t>
        </is>
      </c>
      <c r="F17" s="25" t="inlineStr">
        <is>
          <t>Not started</t>
        </is>
      </c>
      <c r="G17" s="25" t="inlineStr">
        <is>
          <t>Michael</t>
        </is>
      </c>
      <c r="H17" s="25" t="inlineStr"/>
      <c r="I17" s="25" t="inlineStr">
        <is>
          <t>Document the policy now so there is something to point to.</t>
        </is>
      </c>
      <c r="J17" s="31" t="inlineStr">
        <is>
          <t>Phase 1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mergeCells count="2">
    <mergeCell ref="A1:I1"/>
    <mergeCell ref="A2:I2"/>
  </mergeCells>
  <conditionalFormatting sqref="F4:F17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E4:E17">
    <cfRule type="cellIs" priority="5" operator="equal" dxfId="4">
      <formula>"P0"</formula>
    </cfRule>
    <cfRule type="cellIs" priority="6" operator="equal" dxfId="5">
      <formula>"P1"</formula>
    </cfRule>
    <cfRule type="cellIs" priority="7" operator="equal" dxfId="6">
      <formula>"P2"</formula>
    </cfRule>
  </conditionalFormatting>
  <dataValidations count="3">
    <dataValidation sqref="F4:F200" showDropDown="0" showInputMessage="0" showErrorMessage="0" allowBlank="1" type="list">
      <formula1>"Not started,In progress,Blocked,Done,N/A"</formula1>
    </dataValidation>
    <dataValidation sqref="E4:E200" showDropDown="0" showInputMessage="0" showErrorMessage="0" allowBlank="1" type="list">
      <formula1>"P0,P1,P2"</formula1>
    </dataValidation>
    <dataValidation sqref="J4:J200" showDropDown="0" showInputMessage="0" showErrorMessage="0" allowBlank="1" type="list">
      <formula1>"Phase 1,Phase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40" customWidth="1" min="4" max="4"/>
    <col width="9" customWidth="1" min="5" max="5"/>
    <col width="13" customWidth="1" min="6" max="6"/>
    <col width="18" customWidth="1" min="7" max="7"/>
    <col width="11" customWidth="1" min="8" max="8"/>
    <col width="40" customWidth="1" min="9" max="9"/>
    <col width="10" customWidth="1" min="10" max="10"/>
  </cols>
  <sheetData>
    <row r="1" ht="30" customHeight="1">
      <c r="A1" s="23" t="inlineStr">
        <is>
          <t>Security &amp; Infrastructure Hardening</t>
        </is>
      </c>
    </row>
    <row r="2" ht="20" customHeight="1">
      <c r="A2" s="8" t="inlineStr">
        <is>
          <t>Technical controls for a production, multi-tenant SaaS. Items marked Done are verified by the daily security agent.</t>
        </is>
      </c>
    </row>
    <row r="3" ht="28" customHeight="1">
      <c r="A3" s="9" t="inlineStr">
        <is>
          <t>ID</t>
        </is>
      </c>
      <c r="B3" s="9" t="inlineStr">
        <is>
          <t>Area</t>
        </is>
      </c>
      <c r="C3" s="9" t="inlineStr">
        <is>
          <t>Task</t>
        </is>
      </c>
      <c r="D3" s="9" t="inlineStr">
        <is>
          <t>Why it matters</t>
        </is>
      </c>
      <c r="E3" s="9" t="inlineStr">
        <is>
          <t>Priority</t>
        </is>
      </c>
      <c r="F3" s="9" t="inlineStr">
        <is>
          <t>Status</t>
        </is>
      </c>
      <c r="G3" s="9" t="inlineStr">
        <is>
          <t>Owner</t>
        </is>
      </c>
      <c r="H3" s="9" t="inlineStr">
        <is>
          <t>Depends on</t>
        </is>
      </c>
      <c r="I3" s="9" t="inlineStr">
        <is>
          <t>Next action / notes</t>
        </is>
      </c>
      <c r="J3" s="9" t="inlineStr">
        <is>
          <t>Phase</t>
        </is>
      </c>
    </row>
    <row r="4" ht="42" customHeight="1">
      <c r="A4" s="24" t="inlineStr">
        <is>
          <t>SE-01</t>
        </is>
      </c>
      <c r="B4" s="24" t="inlineStr">
        <is>
          <t>Access control</t>
        </is>
      </c>
      <c r="C4" s="24" t="inlineStr">
        <is>
          <t>Multi-tenant data isolation via Postgres RLS (school_id) + role-based access (user / school_admin / super_admin).</t>
        </is>
      </c>
      <c r="D4" s="24" t="inlineStr">
        <is>
          <t>Prevents cross-school data leakage; the single most important control.</t>
        </is>
      </c>
      <c r="E4" s="24" t="inlineStr">
        <is>
          <t>P0</t>
        </is>
      </c>
      <c r="F4" s="24" t="inlineStr">
        <is>
          <t>Done</t>
        </is>
      </c>
      <c r="G4" s="24" t="inlineStr">
        <is>
          <t>—</t>
        </is>
      </c>
      <c r="H4" s="24" t="inlineStr"/>
      <c r="I4" s="24" t="inlineStr">
        <is>
          <t>Verified daily by the security-compliance agent.</t>
        </is>
      </c>
      <c r="J4" s="30" t="inlineStr">
        <is>
          <t>Phase 1</t>
        </is>
      </c>
    </row>
    <row r="5" ht="42" customHeight="1">
      <c r="A5" s="25" t="inlineStr">
        <is>
          <t>SE-02</t>
        </is>
      </c>
      <c r="B5" s="25" t="inlineStr">
        <is>
          <t>Audit</t>
        </is>
      </c>
      <c r="C5" s="25" t="inlineStr">
        <is>
          <t>FERPA audit log of data access and changes (audit_log).</t>
        </is>
      </c>
      <c r="D5" s="25" t="inlineStr">
        <is>
          <t>Required for FERPA and for incident forensics.</t>
        </is>
      </c>
      <c r="E5" s="25" t="inlineStr">
        <is>
          <t>P1</t>
        </is>
      </c>
      <c r="F5" s="25" t="inlineStr">
        <is>
          <t>Done</t>
        </is>
      </c>
      <c r="G5" s="25" t="inlineStr">
        <is>
          <t>—</t>
        </is>
      </c>
      <c r="H5" s="25" t="inlineStr"/>
      <c r="I5" s="25" t="inlineStr">
        <is>
          <t>In place.</t>
        </is>
      </c>
      <c r="J5" s="31" t="inlineStr">
        <is>
          <t>Phase 1</t>
        </is>
      </c>
    </row>
    <row r="6" ht="42" customHeight="1">
      <c r="A6" s="24" t="inlineStr">
        <is>
          <t>SE-03</t>
        </is>
      </c>
      <c r="B6" s="24" t="inlineStr">
        <is>
          <t>Transport</t>
        </is>
      </c>
      <c r="C6" s="24" t="inlineStr">
        <is>
          <t>TLS + security headers (CSP without unsafe-inline, X-Frame-Options, nosniff, Referrer-Policy, Permissions-Policy) via Cloudflare.</t>
        </is>
      </c>
      <c r="D6" s="24" t="inlineStr">
        <is>
          <t>Encryption in transit; a standard questionnaire item.</t>
        </is>
      </c>
      <c r="E6" s="24" t="inlineStr">
        <is>
          <t>P0</t>
        </is>
      </c>
      <c r="F6" s="24" t="inlineStr">
        <is>
          <t>Done</t>
        </is>
      </c>
      <c r="G6" s="24" t="inlineStr">
        <is>
          <t>—</t>
        </is>
      </c>
      <c r="H6" s="24" t="inlineStr"/>
      <c r="I6" s="24" t="inlineStr">
        <is>
          <t>Verified live by the security agent.</t>
        </is>
      </c>
      <c r="J6" s="30" t="inlineStr">
        <is>
          <t>Phase 1</t>
        </is>
      </c>
    </row>
    <row r="7" ht="42" customHeight="1">
      <c r="A7" s="25" t="inlineStr">
        <is>
          <t>SE-04</t>
        </is>
      </c>
      <c r="B7" s="25" t="inlineStr">
        <is>
          <t>Authentication</t>
        </is>
      </c>
      <c r="C7" s="25" t="inlineStr">
        <is>
          <t>Email verification, 15-minute session timeout, admin MFA available.</t>
        </is>
      </c>
      <c r="D7" s="25" t="inlineStr">
        <is>
          <t>Baseline account security.</t>
        </is>
      </c>
      <c r="E7" s="25" t="inlineStr">
        <is>
          <t>P0</t>
        </is>
      </c>
      <c r="F7" s="25" t="inlineStr">
        <is>
          <t>In progress</t>
        </is>
      </c>
      <c r="G7" s="25" t="inlineStr">
        <is>
          <t>Michael</t>
        </is>
      </c>
      <c r="H7" s="25" t="inlineStr">
        <is>
          <t>SE-05</t>
        </is>
      </c>
      <c r="I7" s="25" t="inlineStr">
        <is>
          <t>MFA is available but enrollment is not yet mandatory — see SE-05.</t>
        </is>
      </c>
      <c r="J7" s="31" t="inlineStr">
        <is>
          <t>Phase 1</t>
        </is>
      </c>
    </row>
    <row r="8" ht="42" customHeight="1">
      <c r="A8" s="24" t="inlineStr">
        <is>
          <t>SE-05</t>
        </is>
      </c>
      <c r="B8" s="24" t="inlineStr">
        <is>
          <t>Authentication</t>
        </is>
      </c>
      <c r="C8" s="24" t="inlineStr">
        <is>
          <t>Enforce mandatory MFA for all admin/staff accounts (block until a factor is verified).</t>
        </is>
      </c>
      <c r="D8" s="24" t="inlineStr">
        <is>
          <t>Open audit finding; districts increasingly require enforced MFA.</t>
        </is>
      </c>
      <c r="E8" s="24" t="inlineStr">
        <is>
          <t>P1</t>
        </is>
      </c>
      <c r="F8" s="24" t="inlineStr">
        <is>
          <t>Not started</t>
        </is>
      </c>
      <c r="G8" s="24" t="inlineStr">
        <is>
          <t>Michael + Claude</t>
        </is>
      </c>
      <c r="H8" s="24" t="inlineStr"/>
      <c r="I8" s="24" t="inlineStr">
        <is>
          <t>Flip admin-mfa.js from soft reminder to hard enforcement.</t>
        </is>
      </c>
      <c r="J8" s="30" t="inlineStr">
        <is>
          <t>Phase 1</t>
        </is>
      </c>
    </row>
    <row r="9" ht="42" customHeight="1">
      <c r="A9" s="25" t="inlineStr">
        <is>
          <t>SE-06</t>
        </is>
      </c>
      <c r="B9" s="25" t="inlineStr">
        <is>
          <t>Monitoring</t>
        </is>
      </c>
      <c r="C9" s="25" t="inlineStr">
        <is>
          <t>Automated daily security &amp; compliance audit agent + admin Security dashboard.</t>
        </is>
      </c>
      <c r="D9" s="25" t="inlineStr">
        <is>
          <t>Continuous control monitoring; good evidence for buyers.</t>
        </is>
      </c>
      <c r="E9" s="25" t="inlineStr">
        <is>
          <t>P1</t>
        </is>
      </c>
      <c r="F9" s="25" t="inlineStr">
        <is>
          <t>Done</t>
        </is>
      </c>
      <c r="G9" s="25" t="inlineStr">
        <is>
          <t>—</t>
        </is>
      </c>
      <c r="H9" s="25" t="inlineStr"/>
      <c r="I9" s="25" t="inlineStr">
        <is>
          <t>This agent.</t>
        </is>
      </c>
      <c r="J9" s="31" t="inlineStr">
        <is>
          <t>Phase 1</t>
        </is>
      </c>
    </row>
    <row r="10" ht="42" customHeight="1">
      <c r="A10" s="24" t="inlineStr">
        <is>
          <t>SE-07</t>
        </is>
      </c>
      <c r="B10" s="24" t="inlineStr">
        <is>
          <t>Resilience</t>
        </is>
      </c>
      <c r="C10" s="24" t="inlineStr">
        <is>
          <t>Upgrade Supabase to Pro (stops the project pausing on inactivity; unlocks PITR backups).</t>
        </is>
      </c>
      <c r="D10" s="24" t="inlineStr">
        <is>
          <t>Required before onboarding any paying school.</t>
        </is>
      </c>
      <c r="E10" s="24" t="inlineStr">
        <is>
          <t>P0</t>
        </is>
      </c>
      <c r="F10" s="24" t="inlineStr">
        <is>
          <t>Not started</t>
        </is>
      </c>
      <c r="G10" s="24" t="inlineStr">
        <is>
          <t>Michael</t>
        </is>
      </c>
      <c r="H10" s="24" t="inlineStr"/>
      <c r="I10" s="24" t="inlineStr">
        <is>
          <t>Already flagged in CLAUDE.md pending list.</t>
        </is>
      </c>
      <c r="J10" s="30" t="inlineStr">
        <is>
          <t>Phase 1</t>
        </is>
      </c>
    </row>
    <row r="11" ht="42" customHeight="1">
      <c r="A11" s="25" t="inlineStr">
        <is>
          <t>SE-08</t>
        </is>
      </c>
      <c r="B11" s="25" t="inlineStr">
        <is>
          <t>Backups</t>
        </is>
      </c>
      <c r="C11" s="25" t="inlineStr">
        <is>
          <t>Enable and document automated backups + Point-in-Time Recovery; run a test restore and record RPO/RTO.</t>
        </is>
      </c>
      <c r="D11" s="25" t="inlineStr">
        <is>
          <t>Data durability; a DR and questionnaire requirement.</t>
        </is>
      </c>
      <c r="E11" s="25" t="inlineStr">
        <is>
          <t>P0</t>
        </is>
      </c>
      <c r="F11" s="25" t="inlineStr">
        <is>
          <t>Not started</t>
        </is>
      </c>
      <c r="G11" s="25" t="inlineStr">
        <is>
          <t>Michael</t>
        </is>
      </c>
      <c r="H11" s="25" t="inlineStr">
        <is>
          <t>SE-07</t>
        </is>
      </c>
      <c r="I11" s="25" t="inlineStr">
        <is>
          <t>Document the restore runbook.</t>
        </is>
      </c>
      <c r="J11" s="31" t="inlineStr">
        <is>
          <t>Phase 1</t>
        </is>
      </c>
    </row>
    <row r="12" ht="42" customHeight="1">
      <c r="A12" s="24" t="inlineStr">
        <is>
          <t>SE-09</t>
        </is>
      </c>
      <c r="B12" s="24" t="inlineStr">
        <is>
          <t>Encryption</t>
        </is>
      </c>
      <c r="C12" s="24" t="inlineStr">
        <is>
          <t>Confirm and document encryption at rest (Supabase/Postgres + backups); obtain the provider attestation.</t>
        </is>
      </c>
      <c r="D12" s="24" t="inlineStr">
        <is>
          <t>Common questionnaire item; pairs with SE-03.</t>
        </is>
      </c>
      <c r="E12" s="24" t="inlineStr">
        <is>
          <t>P0</t>
        </is>
      </c>
      <c r="F12" s="24" t="inlineStr">
        <is>
          <t>Not started</t>
        </is>
      </c>
      <c r="G12" s="24" t="inlineStr">
        <is>
          <t>Michael</t>
        </is>
      </c>
      <c r="H12" s="24" t="inlineStr"/>
      <c r="I12" s="24" t="inlineStr">
        <is>
          <t>Capture Supabase/AWS attestation language.</t>
        </is>
      </c>
      <c r="J12" s="30" t="inlineStr">
        <is>
          <t>Phase 1</t>
        </is>
      </c>
    </row>
    <row r="13" ht="42" customHeight="1">
      <c r="A13" s="25" t="inlineStr">
        <is>
          <t>SE-10</t>
        </is>
      </c>
      <c r="B13" s="25" t="inlineStr">
        <is>
          <t>Assessment</t>
        </is>
      </c>
      <c r="C13" s="25" t="inlineStr">
        <is>
          <t>Commission a third-party penetration test / security assessment; set an annual cadence.</t>
        </is>
      </c>
      <c r="D13" s="25" t="inlineStr">
        <is>
          <t>Larger districts ask for pen-test evidence.</t>
        </is>
      </c>
      <c r="E13" s="25" t="inlineStr">
        <is>
          <t>P1</t>
        </is>
      </c>
      <c r="F13" s="25" t="inlineStr">
        <is>
          <t>Not started</t>
        </is>
      </c>
      <c r="G13" s="25" t="inlineStr">
        <is>
          <t>Michael</t>
        </is>
      </c>
      <c r="H13" s="25" t="inlineStr"/>
      <c r="I13" s="25" t="inlineStr">
        <is>
          <t>Get quotes; schedule the first test.</t>
        </is>
      </c>
      <c r="J13" s="32" t="inlineStr">
        <is>
          <t>Phase 2</t>
        </is>
      </c>
    </row>
    <row r="14" ht="42" customHeight="1">
      <c r="A14" s="24" t="inlineStr">
        <is>
          <t>SE-11</t>
        </is>
      </c>
      <c r="B14" s="24" t="inlineStr">
        <is>
          <t>Vuln mgmt</t>
        </is>
      </c>
      <c r="C14" s="24" t="inlineStr">
        <is>
          <t>Establish dependency/vulnerability scanning (npm audit, Dependabot) as an ongoing process.</t>
        </is>
      </c>
      <c r="D14" s="24" t="inlineStr">
        <is>
          <t>Ongoing security hygiene.</t>
        </is>
      </c>
      <c r="E14" s="24" t="inlineStr">
        <is>
          <t>P2</t>
        </is>
      </c>
      <c r="F14" s="24" t="inlineStr">
        <is>
          <t>Not started</t>
        </is>
      </c>
      <c r="G14" s="24" t="inlineStr">
        <is>
          <t>Claude</t>
        </is>
      </c>
      <c r="H14" s="24" t="inlineStr"/>
      <c r="I14" s="24" t="inlineStr">
        <is>
          <t>Add to CI / the pre-deploy gate.</t>
        </is>
      </c>
      <c r="J14" s="30" t="inlineStr">
        <is>
          <t>Phase 1</t>
        </is>
      </c>
    </row>
    <row r="15" ht="42" customHeight="1">
      <c r="A15" s="25" t="inlineStr">
        <is>
          <t>SE-12</t>
        </is>
      </c>
      <c r="B15" s="25" t="inlineStr">
        <is>
          <t>Incident response</t>
        </is>
      </c>
      <c r="C15" s="25" t="inlineStr">
        <is>
          <t>Write an Incident Response Plan (roles, severity levels, comms, timelines).</t>
        </is>
      </c>
      <c r="D15" s="25" t="inlineStr">
        <is>
          <t>Required by contracts and by FE-12.</t>
        </is>
      </c>
      <c r="E15" s="25" t="inlineStr">
        <is>
          <t>P0</t>
        </is>
      </c>
      <c r="F15" s="25" t="inlineStr">
        <is>
          <t>In progress</t>
        </is>
      </c>
      <c r="G15" s="25" t="inlineStr">
        <is>
          <t>Michael + Claude</t>
        </is>
      </c>
      <c r="H15" s="25" t="inlineStr"/>
      <c r="I15" s="25" t="inlineStr">
        <is>
          <t>IR plan drafted at compliance/04_Incident_Response_Plan.md — fill [FILL] counsel/insurer/provider contacts.</t>
        </is>
      </c>
      <c r="J15" s="31" t="inlineStr">
        <is>
          <t>Phase 1</t>
        </is>
      </c>
    </row>
    <row r="16" ht="42" customHeight="1">
      <c r="A16" s="24" t="inlineStr">
        <is>
          <t>SE-13</t>
        </is>
      </c>
      <c r="B16" s="24" t="inlineStr">
        <is>
          <t>BC/DR</t>
        </is>
      </c>
      <c r="C16" s="24" t="inlineStr">
        <is>
          <t>Write a Business Continuity / Disaster Recovery plan.</t>
        </is>
      </c>
      <c r="D16" s="24" t="inlineStr">
        <is>
          <t>Questionnaire item; ties directly to backups.</t>
        </is>
      </c>
      <c r="E16" s="24" t="inlineStr">
        <is>
          <t>P1</t>
        </is>
      </c>
      <c r="F16" s="24" t="inlineStr">
        <is>
          <t>In progress</t>
        </is>
      </c>
      <c r="G16" s="24" t="inlineStr">
        <is>
          <t>Michael</t>
        </is>
      </c>
      <c r="H16" s="24" t="inlineStr">
        <is>
          <t>SE-08</t>
        </is>
      </c>
      <c r="I16" s="24" t="inlineStr">
        <is>
          <t>BC/DR plan drafted at compliance/12_Business_Continuity_and_DR_Plan.md — set RPO/RTO; depends on Supabase Pro (SE-07).</t>
        </is>
      </c>
      <c r="J16" s="30" t="inlineStr">
        <is>
          <t>Phase 1</t>
        </is>
      </c>
    </row>
    <row r="17" ht="42" customHeight="1">
      <c r="A17" s="25" t="inlineStr">
        <is>
          <t>SE-14</t>
        </is>
      </c>
      <c r="B17" s="25" t="inlineStr">
        <is>
          <t>Uptime</t>
        </is>
      </c>
      <c r="C17" s="25" t="inlineStr">
        <is>
          <t>Add uptime monitoring + alerting + a public status page.</t>
        </is>
      </c>
      <c r="D17" s="25" t="inlineStr">
        <is>
          <t>SLA credibility and a questionnaire item.</t>
        </is>
      </c>
      <c r="E17" s="25" t="inlineStr">
        <is>
          <t>P1</t>
        </is>
      </c>
      <c r="F17" s="25" t="inlineStr">
        <is>
          <t>Not started</t>
        </is>
      </c>
      <c r="G17" s="25" t="inlineStr">
        <is>
          <t>Michael</t>
        </is>
      </c>
      <c r="H17" s="25" t="inlineStr"/>
      <c r="I17" s="25" t="inlineStr">
        <is>
          <t>e.g. UptimeRobot / BetterStack + a hosted status page.</t>
        </is>
      </c>
      <c r="J17" s="31" t="inlineStr">
        <is>
          <t>Phase 1</t>
        </is>
      </c>
    </row>
    <row r="18" ht="42" customHeight="1">
      <c r="A18" s="24" t="inlineStr">
        <is>
          <t>SE-15</t>
        </is>
      </c>
      <c r="B18" s="24" t="inlineStr">
        <is>
          <t>Passwords</t>
        </is>
      </c>
      <c r="C18" s="24" t="inlineStr">
        <is>
          <t>Enable Supabase breached-password protection + a strong password policy.</t>
        </is>
      </c>
      <c r="D18" s="24" t="inlineStr">
        <is>
          <t>Cheap, high-value control.</t>
        </is>
      </c>
      <c r="E18" s="24" t="inlineStr">
        <is>
          <t>P2</t>
        </is>
      </c>
      <c r="F18" s="24" t="inlineStr">
        <is>
          <t>Not started</t>
        </is>
      </c>
      <c r="G18" s="24" t="inlineStr">
        <is>
          <t>Michael</t>
        </is>
      </c>
      <c r="H18" s="24" t="inlineStr"/>
      <c r="I18" s="24" t="inlineStr">
        <is>
          <t>Supabase Auth settings toggle.</t>
        </is>
      </c>
      <c r="J18" s="30" t="inlineStr">
        <is>
          <t>Phase 1</t>
        </is>
      </c>
    </row>
    <row r="19" ht="42" customHeight="1">
      <c r="A19" s="25" t="inlineStr">
        <is>
          <t>SE-16</t>
        </is>
      </c>
      <c r="B19" s="25" t="inlineStr">
        <is>
          <t>Secrets</t>
        </is>
      </c>
      <c r="C19" s="25" t="inlineStr">
        <is>
          <t>Document secrets management (service-role key handling + the rotation manifest).</t>
        </is>
      </c>
      <c r="D19" s="25" t="inlineStr">
        <is>
          <t>Partly done via security/rotation-manifest.json.</t>
        </is>
      </c>
      <c r="E19" s="25" t="inlineStr">
        <is>
          <t>P2</t>
        </is>
      </c>
      <c r="F19" s="25" t="inlineStr">
        <is>
          <t>In progress</t>
        </is>
      </c>
      <c r="G19" s="25" t="inlineStr">
        <is>
          <t>Michael</t>
        </is>
      </c>
      <c r="H19" s="25" t="inlineStr"/>
      <c r="I19" s="25" t="inlineStr">
        <is>
          <t>Secrets policy drafted at compliance/13_Secrets_Management.md.</t>
        </is>
      </c>
      <c r="J19" s="31" t="inlineStr">
        <is>
          <t>Phase 1</t>
        </is>
      </c>
    </row>
    <row r="20" ht="42" customHeight="1">
      <c r="A20" s="24" t="inlineStr">
        <is>
          <t>SE-17</t>
        </is>
      </c>
      <c r="B20" s="24" t="inlineStr">
        <is>
          <t>SOC 2</t>
        </is>
      </c>
      <c r="C20" s="24" t="inlineStr">
        <is>
          <t>Decide on a SOC 2 Type I/II roadmap (build now vs defer).</t>
        </is>
      </c>
      <c r="D20" s="24" t="inlineStr">
        <is>
          <t>A major enterprise-district sales enabler, but costly and time-consuming.</t>
        </is>
      </c>
      <c r="E20" s="24" t="inlineStr">
        <is>
          <t>P2</t>
        </is>
      </c>
      <c r="F20" s="24" t="inlineStr">
        <is>
          <t>Not started</t>
        </is>
      </c>
      <c r="G20" s="24" t="inlineStr">
        <is>
          <t>Michael</t>
        </is>
      </c>
      <c r="H20" s="24" t="inlineStr"/>
      <c r="I20" s="24" t="inlineStr">
        <is>
          <t>Decision item; consider Vanta/Drata when revenue supports it.</t>
        </is>
      </c>
      <c r="J20" s="32" t="inlineStr">
        <is>
          <t>Phase 2</t>
        </is>
      </c>
    </row>
    <row r="21" ht="42" customHeight="1">
      <c r="A21" s="25" t="inlineStr">
        <is>
          <t>SE-18</t>
        </is>
      </c>
      <c r="B21" s="25" t="inlineStr">
        <is>
          <t>Edge</t>
        </is>
      </c>
      <c r="C21" s="25" t="inlineStr">
        <is>
          <t>Review Cloudflare WAF + rate limiting on auth endpoints.</t>
        </is>
      </c>
      <c r="D21" s="25" t="inlineStr">
        <is>
          <t>Brute-force and abuse protection.</t>
        </is>
      </c>
      <c r="E21" s="25" t="inlineStr">
        <is>
          <t>P2</t>
        </is>
      </c>
      <c r="F21" s="25" t="inlineStr">
        <is>
          <t>Not started</t>
        </is>
      </c>
      <c r="G21" s="25" t="inlineStr">
        <is>
          <t>Michael</t>
        </is>
      </c>
      <c r="H21" s="25" t="inlineStr"/>
      <c r="I21" s="25" t="inlineStr">
        <is>
          <t>Configure WAF rules.</t>
        </is>
      </c>
      <c r="J21" s="31" t="inlineStr">
        <is>
          <t>Phase 1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mergeCells count="2">
    <mergeCell ref="A1:I1"/>
    <mergeCell ref="A2:I2"/>
  </mergeCells>
  <conditionalFormatting sqref="F4:F2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E4:E21">
    <cfRule type="cellIs" priority="5" operator="equal" dxfId="4">
      <formula>"P0"</formula>
    </cfRule>
    <cfRule type="cellIs" priority="6" operator="equal" dxfId="5">
      <formula>"P1"</formula>
    </cfRule>
    <cfRule type="cellIs" priority="7" operator="equal" dxfId="6">
      <formula>"P2"</formula>
    </cfRule>
  </conditionalFormatting>
  <dataValidations count="3">
    <dataValidation sqref="F4:F200" showDropDown="0" showInputMessage="0" showErrorMessage="0" allowBlank="1" type="list">
      <formula1>"Not started,In progress,Blocked,Done,N/A"</formula1>
    </dataValidation>
    <dataValidation sqref="E4:E200" showDropDown="0" showInputMessage="0" showErrorMessage="0" allowBlank="1" type="list">
      <formula1>"P0,P1,P2"</formula1>
    </dataValidation>
    <dataValidation sqref="J4:J200" showDropDown="0" showInputMessage="0" showErrorMessage="0" allowBlank="1" type="list">
      <formula1>"Phase 1,Phase 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40" customWidth="1" min="3" max="3"/>
    <col width="40" customWidth="1" min="4" max="4"/>
    <col width="20" customWidth="1" min="5" max="5"/>
    <col width="12" customWidth="1" min="6" max="6"/>
    <col width="36" customWidth="1" min="7" max="7"/>
    <col width="10" customWidth="1" min="8" max="8"/>
  </cols>
  <sheetData>
    <row r="1" ht="30" customHeight="1">
      <c r="A1" s="23" t="inlineStr">
        <is>
          <t>School / District Vendor Questionnaire Readiness</t>
        </is>
      </c>
    </row>
    <row r="2" ht="20" customHeight="1">
      <c r="A2" s="8" t="inlineStr">
        <is>
          <t>The recurring questions procurement and district IT send. Goal: a prepared answer + evidence for every row before the first questionnaire arrives.</t>
        </is>
      </c>
    </row>
    <row r="3" ht="28" customHeight="1">
      <c r="A3" s="9" t="inlineStr">
        <is>
          <t>ID</t>
        </is>
      </c>
      <c r="B3" s="9" t="inlineStr">
        <is>
          <t>Theme</t>
        </is>
      </c>
      <c r="C3" s="9" t="inlineStr">
        <is>
          <t>Typical district question</t>
        </is>
      </c>
      <c r="D3" s="9" t="inlineStr">
        <is>
          <t>Our current answer</t>
        </is>
      </c>
      <c r="E3" s="9" t="inlineStr">
        <is>
          <t>Evidence / where</t>
        </is>
      </c>
      <c r="F3" s="9" t="inlineStr">
        <is>
          <t>Status</t>
        </is>
      </c>
      <c r="G3" s="9" t="inlineStr">
        <is>
          <t>Action to be answer-ready</t>
        </is>
      </c>
      <c r="H3" s="9" t="inlineStr">
        <is>
          <t>Phase</t>
        </is>
      </c>
    </row>
    <row r="4" ht="46" customHeight="1">
      <c r="A4" s="24" t="inlineStr">
        <is>
          <t>VQ-01</t>
        </is>
      </c>
      <c r="B4" s="24" t="inlineStr">
        <is>
          <t>Company</t>
        </is>
      </c>
      <c r="C4" s="24" t="inlineStr">
        <is>
          <t>Legal name, entity type, EIN, years in business, primary contact.</t>
        </is>
      </c>
      <c r="D4" s="24" t="inlineStr">
        <is>
          <t>Cohort Logic (confirm exact LLC name + EIN).</t>
        </is>
      </c>
      <c r="E4" s="24" t="inlineStr">
        <is>
          <t>Business &amp; Insurance tab</t>
        </is>
      </c>
      <c r="F4" s="24" t="inlineStr">
        <is>
          <t>Partial</t>
        </is>
      </c>
      <c r="G4" s="24" t="inlineStr">
        <is>
          <t>Confirm entity/EIN (footer 'PBC' vs LLC discrepancy) + document in one place.</t>
        </is>
      </c>
      <c r="H4" s="30" t="inlineStr">
        <is>
          <t>Phase 1</t>
        </is>
      </c>
    </row>
    <row r="5" ht="46" customHeight="1">
      <c r="A5" s="25" t="inlineStr">
        <is>
          <t>VQ-02</t>
        </is>
      </c>
      <c r="B5" s="25" t="inlineStr">
        <is>
          <t>Data collected</t>
        </is>
      </c>
      <c r="C5" s="25" t="inlineStr">
        <is>
          <t>What student PII do you collect and why?</t>
        </is>
      </c>
      <c r="D5" s="25" t="inlineStr">
        <is>
          <t>Name, grade, homeroom, behavior/CICO records, referral data, limited demographics for equity reporting. No rosters stored for Class Builder.</t>
        </is>
      </c>
      <c r="E5" s="25" t="inlineStr">
        <is>
          <t>Data map (FE-04)</t>
        </is>
      </c>
      <c r="F5" s="25" t="inlineStr">
        <is>
          <t>Partial</t>
        </is>
      </c>
      <c r="G5" s="25" t="inlineStr">
        <is>
          <t>Data map drafted (01_...); finalize + confirm flags.</t>
        </is>
      </c>
      <c r="H5" s="31" t="inlineStr">
        <is>
          <t>Phase 1</t>
        </is>
      </c>
    </row>
    <row r="6" ht="46" customHeight="1">
      <c r="A6" s="24" t="inlineStr">
        <is>
          <t>VQ-03</t>
        </is>
      </c>
      <c r="B6" s="24" t="inlineStr">
        <is>
          <t>Hosting</t>
        </is>
      </c>
      <c r="C6" s="24" t="inlineStr">
        <is>
          <t>Where is data hosted? Cloud provider and region?</t>
        </is>
      </c>
      <c r="D6" s="24" t="inlineStr">
        <is>
          <t>Supabase (managed Postgres on AWS) + Cloudflare. Confirm US region.</t>
        </is>
      </c>
      <c r="E6" s="24" t="inlineStr">
        <is>
          <t>FE-06</t>
        </is>
      </c>
      <c r="F6" s="24" t="inlineStr">
        <is>
          <t>Partial</t>
        </is>
      </c>
      <c r="G6" s="24" t="inlineStr">
        <is>
          <t>Confirm + document region.</t>
        </is>
      </c>
      <c r="H6" s="30" t="inlineStr">
        <is>
          <t>Phase 1</t>
        </is>
      </c>
    </row>
    <row r="7" ht="46" customHeight="1">
      <c r="A7" s="25" t="inlineStr">
        <is>
          <t>VQ-04</t>
        </is>
      </c>
      <c r="B7" s="25" t="inlineStr">
        <is>
          <t>Encryption</t>
        </is>
      </c>
      <c r="C7" s="25" t="inlineStr">
        <is>
          <t>Is data encrypted in transit and at rest?</t>
        </is>
      </c>
      <c r="D7" s="25" t="inlineStr">
        <is>
          <t>In transit: yes (TLS + headers). At rest: pending attestation.</t>
        </is>
      </c>
      <c r="E7" s="25" t="inlineStr">
        <is>
          <t>SE-03 done / SE-09 pending</t>
        </is>
      </c>
      <c r="F7" s="25" t="inlineStr">
        <is>
          <t>Partial</t>
        </is>
      </c>
      <c r="G7" s="25" t="inlineStr">
        <is>
          <t>Obtain at-rest attestation.</t>
        </is>
      </c>
      <c r="H7" s="31" t="inlineStr">
        <is>
          <t>Phase 1</t>
        </is>
      </c>
    </row>
    <row r="8" ht="46" customHeight="1">
      <c r="A8" s="24" t="inlineStr">
        <is>
          <t>VQ-05</t>
        </is>
      </c>
      <c r="B8" s="24" t="inlineStr">
        <is>
          <t>Access control</t>
        </is>
      </c>
      <c r="C8" s="24" t="inlineStr">
        <is>
          <t>How is tenant data isolated? RBAC? MFA?</t>
        </is>
      </c>
      <c r="D8" s="24" t="inlineStr">
        <is>
          <t>Postgres RLS per school_id; 3-tier roles; admin MFA available.</t>
        </is>
      </c>
      <c r="E8" s="24" t="inlineStr">
        <is>
          <t>SE-01 / SE-04</t>
        </is>
      </c>
      <c r="F8" s="24" t="inlineStr">
        <is>
          <t>Ready</t>
        </is>
      </c>
      <c r="G8" s="24" t="inlineStr">
        <is>
          <t>Note that mandatory MFA is in progress (SE-05).</t>
        </is>
      </c>
      <c r="H8" s="30" t="inlineStr">
        <is>
          <t>Phase 1</t>
        </is>
      </c>
    </row>
    <row r="9" ht="46" customHeight="1">
      <c r="A9" s="25" t="inlineStr">
        <is>
          <t>VQ-06</t>
        </is>
      </c>
      <c r="B9" s="25" t="inlineStr">
        <is>
          <t>Sub-processors</t>
        </is>
      </c>
      <c r="C9" s="25" t="inlineStr">
        <is>
          <t>List your sub-processors and their agreements.</t>
        </is>
      </c>
      <c r="D9" s="25" t="inlineStr">
        <is>
          <t>Supabase, Cloudflare. DPAs not yet signed.</t>
        </is>
      </c>
      <c r="E9" s="25" t="inlineStr">
        <is>
          <t>FE-05</t>
        </is>
      </c>
      <c r="F9" s="25" t="inlineStr">
        <is>
          <t>Gap</t>
        </is>
      </c>
      <c r="G9" s="25" t="inlineStr">
        <is>
          <t>Sub-processor list drafted (01_...); sign Supabase + Cloudflare DPAs to close.</t>
        </is>
      </c>
      <c r="H9" s="31" t="inlineStr">
        <is>
          <t>Phase 1</t>
        </is>
      </c>
    </row>
    <row r="10" ht="46" customHeight="1">
      <c r="A10" s="24" t="inlineStr">
        <is>
          <t>VQ-07</t>
        </is>
      </c>
      <c r="B10" s="24" t="inlineStr">
        <is>
          <t>Retention / deletion</t>
        </is>
      </c>
      <c r="C10" s="24" t="inlineStr">
        <is>
          <t>What is your retention schedule and deletion-on-termination process?</t>
        </is>
      </c>
      <c r="D10" s="24" t="inlineStr">
        <is>
          <t>Admin Wipe Data exists; formal policy pending.</t>
        </is>
      </c>
      <c r="E10" s="24" t="inlineStr">
        <is>
          <t>FE-07</t>
        </is>
      </c>
      <c r="F10" s="24" t="inlineStr">
        <is>
          <t>Partial</t>
        </is>
      </c>
      <c r="G10" s="24" t="inlineStr">
        <is>
          <t>Retention/deletion policy drafted (02_...); set windows + verify wipe scope.</t>
        </is>
      </c>
      <c r="H10" s="30" t="inlineStr">
        <is>
          <t>Phase 1</t>
        </is>
      </c>
    </row>
    <row r="11" ht="46" customHeight="1">
      <c r="A11" s="25" t="inlineStr">
        <is>
          <t>VQ-08</t>
        </is>
      </c>
      <c r="B11" s="25" t="inlineStr">
        <is>
          <t>Breach notification</t>
        </is>
      </c>
      <c r="C11" s="25" t="inlineStr">
        <is>
          <t>What is your breach notification process and timeline?</t>
        </is>
      </c>
      <c r="D11" s="25" t="inlineStr">
        <is>
          <t>Not yet documented.</t>
        </is>
      </c>
      <c r="E11" s="25" t="inlineStr">
        <is>
          <t>FE-12 / SE-12</t>
        </is>
      </c>
      <c r="F11" s="25" t="inlineStr">
        <is>
          <t>Partial</t>
        </is>
      </c>
      <c r="G11" s="25" t="inlineStr">
        <is>
          <t>Breach policy (05_...) + IR plan (04_...) drafted; fill contacts to reach Ready.</t>
        </is>
      </c>
      <c r="H11" s="32" t="inlineStr">
        <is>
          <t>Phase 2</t>
        </is>
      </c>
    </row>
    <row r="12" ht="46" customHeight="1">
      <c r="A12" s="24" t="inlineStr">
        <is>
          <t>VQ-09</t>
        </is>
      </c>
      <c r="B12" s="24" t="inlineStr">
        <is>
          <t>Compliance</t>
        </is>
      </c>
      <c r="C12" s="24" t="inlineStr">
        <is>
          <t>Are you FERPA / COPPA / state-law compliant? Provide statements.</t>
        </is>
      </c>
      <c r="D12" s="24" t="inlineStr">
        <is>
          <t>Architecture aligns; statements not attorney-reviewed.</t>
        </is>
      </c>
      <c r="E12" s="24" t="inlineStr">
        <is>
          <t>FERPA tab</t>
        </is>
      </c>
      <c r="F12" s="24" t="inlineStr">
        <is>
          <t>Partial</t>
        </is>
      </c>
      <c r="G12" s="24" t="inlineStr">
        <is>
          <t>FERPA posture (03_...) + state matrix (06_...) drafted; needs counsel-reviewed statements.</t>
        </is>
      </c>
      <c r="H12" s="30" t="inlineStr">
        <is>
          <t>Phase 1</t>
        </is>
      </c>
    </row>
    <row r="13" ht="46" customHeight="1">
      <c r="A13" s="25" t="inlineStr">
        <is>
          <t>VQ-10</t>
        </is>
      </c>
      <c r="B13" s="25" t="inlineStr">
        <is>
          <t>DPA / NDPA</t>
        </is>
      </c>
      <c r="C13" s="25" t="inlineStr">
        <is>
          <t>Will you sign our DPA / the SDPC NDPA?</t>
        </is>
      </c>
      <c r="D13" s="25" t="inlineStr">
        <is>
          <t>Yes in principle; no template ready yet.</t>
        </is>
      </c>
      <c r="E13" s="25" t="inlineStr">
        <is>
          <t>FE-02 / FE-03</t>
        </is>
      </c>
      <c r="F13" s="25" t="inlineStr">
        <is>
          <t>Partial</t>
        </is>
      </c>
      <c r="G13" s="25" t="inlineStr">
        <is>
          <t>NDPA readiness brief (07_...) drafted; join SDPC + have signable template to reach Ready.</t>
        </is>
      </c>
      <c r="H13" s="31" t="inlineStr">
        <is>
          <t>Phase 1</t>
        </is>
      </c>
    </row>
    <row r="14" ht="46" customHeight="1">
      <c r="A14" s="24" t="inlineStr">
        <is>
          <t>VQ-11</t>
        </is>
      </c>
      <c r="B14" s="24" t="inlineStr">
        <is>
          <t>Insurance</t>
        </is>
      </c>
      <c r="C14" s="24" t="inlineStr">
        <is>
          <t>Do you carry cyber liability and E&amp;O insurance? Limits? COI?</t>
        </is>
      </c>
      <c r="D14" s="24" t="inlineStr">
        <is>
          <t>Not yet bound.</t>
        </is>
      </c>
      <c r="E14" s="24" t="inlineStr">
        <is>
          <t>Business tab</t>
        </is>
      </c>
      <c r="F14" s="24" t="inlineStr">
        <is>
          <t>Partial</t>
        </is>
      </c>
      <c r="G14" s="24" t="inlineStr">
        <is>
          <t>Michael obtaining cyber + E&amp;O coverage; keep COI ready once bound (BI-04/05/07).</t>
        </is>
      </c>
      <c r="H14" s="30" t="inlineStr">
        <is>
          <t>Phase 1</t>
        </is>
      </c>
    </row>
    <row r="15" ht="46" customHeight="1">
      <c r="A15" s="25" t="inlineStr">
        <is>
          <t>VQ-12</t>
        </is>
      </c>
      <c r="B15" s="25" t="inlineStr">
        <is>
          <t>Audits</t>
        </is>
      </c>
      <c r="C15" s="25" t="inlineStr">
        <is>
          <t>Do you have SOC 2 or a recent penetration test?</t>
        </is>
      </c>
      <c r="D15" s="25" t="inlineStr">
        <is>
          <t>No SOC 2; no pen test yet.</t>
        </is>
      </c>
      <c r="E15" s="25" t="inlineStr">
        <is>
          <t>SE-10 / SE-17</t>
        </is>
      </c>
      <c r="F15" s="25" t="inlineStr">
        <is>
          <t>Gap</t>
        </is>
      </c>
      <c r="G15" s="25" t="inlineStr">
        <is>
          <t>Pen test first; SOC 2 as a later roadmap item.</t>
        </is>
      </c>
      <c r="H15" s="32" t="inlineStr">
        <is>
          <t>Phase 2</t>
        </is>
      </c>
    </row>
    <row r="16" ht="46" customHeight="1">
      <c r="A16" s="24" t="inlineStr">
        <is>
          <t>VQ-13</t>
        </is>
      </c>
      <c r="B16" s="24" t="inlineStr">
        <is>
          <t>Accessibility</t>
        </is>
      </c>
      <c r="C16" s="24" t="inlineStr">
        <is>
          <t>Are you WCAG 2.1 AA compliant? Provide a VPAT.</t>
        </is>
      </c>
      <c r="D16" s="24" t="inlineStr">
        <is>
          <t>No VPAT yet.</t>
        </is>
      </c>
      <c r="E16" s="24" t="inlineStr">
        <is>
          <t>Product tab (PR-05)</t>
        </is>
      </c>
      <c r="F16" s="24" t="inlineStr">
        <is>
          <t>Gap</t>
        </is>
      </c>
      <c r="G16" s="24" t="inlineStr">
        <is>
          <t>Commission an accessibility audit + VPAT.</t>
        </is>
      </c>
      <c r="H16" s="30" t="inlineStr">
        <is>
          <t>Phase 1</t>
        </is>
      </c>
    </row>
    <row r="17" ht="46" customHeight="1">
      <c r="A17" s="25" t="inlineStr">
        <is>
          <t>VQ-14</t>
        </is>
      </c>
      <c r="B17" s="25" t="inlineStr">
        <is>
          <t>SSO / rostering</t>
        </is>
      </c>
      <c r="C17" s="25" t="inlineStr">
        <is>
          <t>Do you support Google / Clever / ClassLink SSO and roster sync?</t>
        </is>
      </c>
      <c r="D17" s="25" t="inlineStr">
        <is>
          <t>Email/password only today.</t>
        </is>
      </c>
      <c r="E17" s="25" t="inlineStr">
        <is>
          <t>Product tab (PR-06)</t>
        </is>
      </c>
      <c r="F17" s="25" t="inlineStr">
        <is>
          <t>Gap</t>
        </is>
      </c>
      <c r="G17" s="25" t="inlineStr">
        <is>
          <t>Roadmap SSO/rostering — a major K-12 adoption factor.</t>
        </is>
      </c>
      <c r="H17" s="32" t="inlineStr">
        <is>
          <t>Phase 2</t>
        </is>
      </c>
    </row>
    <row r="18" ht="46" customHeight="1">
      <c r="A18" s="24" t="inlineStr">
        <is>
          <t>VQ-15</t>
        </is>
      </c>
      <c r="B18" s="24" t="inlineStr">
        <is>
          <t>Support / SLA</t>
        </is>
      </c>
      <c r="C18" s="24" t="inlineStr">
        <is>
          <t>What is your uptime SLA, support channel and response time?</t>
        </is>
      </c>
      <c r="D18" s="24" t="inlineStr">
        <is>
          <t>Not formally defined.</t>
        </is>
      </c>
      <c r="E18" s="24" t="inlineStr">
        <is>
          <t>Product tab (PR-03/07)</t>
        </is>
      </c>
      <c r="F18" s="24" t="inlineStr">
        <is>
          <t>Partial</t>
        </is>
      </c>
      <c r="G18" s="24" t="inlineStr">
        <is>
          <t>Define SLA + support commitments.</t>
        </is>
      </c>
      <c r="H18" s="30" t="inlineStr">
        <is>
          <t>Phase 1</t>
        </is>
      </c>
    </row>
    <row r="19" ht="46" customHeight="1">
      <c r="A19" s="25" t="inlineStr">
        <is>
          <t>VQ-16</t>
        </is>
      </c>
      <c r="B19" s="25" t="inlineStr">
        <is>
          <t>Personnel</t>
        </is>
      </c>
      <c r="C19" s="25" t="inlineStr">
        <is>
          <t>Background checks / security training for staff with data access?</t>
        </is>
      </c>
      <c r="D19" s="25" t="inlineStr">
        <is>
          <t>Solo founder today; no formal program.</t>
        </is>
      </c>
      <c r="E19" s="25" t="inlineStr">
        <is>
          <t>FE-14</t>
        </is>
      </c>
      <c r="F19" s="25" t="inlineStr">
        <is>
          <t>Partial</t>
        </is>
      </c>
      <c r="G19" s="25" t="inlineStr">
        <is>
          <t>Document the policy (scales with hiring).</t>
        </is>
      </c>
      <c r="H19" s="31" t="inlineStr">
        <is>
          <t>Phase 1</t>
        </is>
      </c>
    </row>
    <row r="20" ht="46" customHeight="1">
      <c r="A20" s="24" t="inlineStr">
        <is>
          <t>VQ-17</t>
        </is>
      </c>
      <c r="B20" s="24" t="inlineStr">
        <is>
          <t>Data use</t>
        </is>
      </c>
      <c r="C20" s="24" t="inlineStr">
        <is>
          <t>Do you sell data or use it for advertising / secondary purposes?</t>
        </is>
      </c>
      <c r="D20" s="24" t="inlineStr">
        <is>
          <t>No — never. Make it explicit in policy + contract.</t>
        </is>
      </c>
      <c r="E20" s="24" t="inlineStr">
        <is>
          <t>FE-08</t>
        </is>
      </c>
      <c r="F20" s="24" t="inlineStr">
        <is>
          <t>Partial</t>
        </is>
      </c>
      <c r="G20" s="24" t="inlineStr">
        <is>
          <t>Explicit no-sale/no-ads/no-secondary-use in privacy draft (08_...); finalize + attorney review.</t>
        </is>
      </c>
      <c r="H20" s="30" t="inlineStr">
        <is>
          <t>Phase 1</t>
        </is>
      </c>
    </row>
    <row r="21" ht="46" customHeight="1">
      <c r="A21" s="25" t="inlineStr">
        <is>
          <t>VQ-18</t>
        </is>
      </c>
      <c r="B21" s="25" t="inlineStr">
        <is>
          <t>References</t>
        </is>
      </c>
      <c r="C21" s="25" t="inlineStr">
        <is>
          <t>Can you provide customer references or pilot results?</t>
        </is>
      </c>
      <c r="D21" s="25" t="inlineStr">
        <is>
          <t>None documented yet.</t>
        </is>
      </c>
      <c r="E21" s="25" t="inlineStr">
        <is>
          <t>—</t>
        </is>
      </c>
      <c r="F21" s="25" t="inlineStr">
        <is>
          <t>Gap</t>
        </is>
      </c>
      <c r="G21" s="25" t="inlineStr">
        <is>
          <t>Gather references/testimonials from pilots.</t>
        </is>
      </c>
      <c r="H21" s="31" t="inlineStr">
        <is>
          <t>Phase 1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mergeCells count="2">
    <mergeCell ref="A2:G2"/>
    <mergeCell ref="A1:G1"/>
  </mergeCells>
  <conditionalFormatting sqref="F4:F21">
    <cfRule type="cellIs" priority="1" operator="equal" dxfId="0">
      <formula>"Ready"</formula>
    </cfRule>
    <cfRule type="cellIs" priority="2" operator="equal" dxfId="1">
      <formula>"Partial"</formula>
    </cfRule>
    <cfRule type="cellIs" priority="3" operator="equal" dxfId="2">
      <formula>"Gap"</formula>
    </cfRule>
  </conditionalFormatting>
  <dataValidations count="2">
    <dataValidation sqref="F4:F200" showDropDown="0" showInputMessage="0" showErrorMessage="0" allowBlank="1" type="list">
      <formula1>"Ready,Partial,Gap,N/A"</formula1>
    </dataValidation>
    <dataValidation sqref="H4:H200" showDropDown="0" showInputMessage="0" showErrorMessage="0" allowBlank="1" type="list">
      <formula1>"Phase 1,Phase 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40" customWidth="1" min="4" max="4"/>
    <col width="9" customWidth="1" min="5" max="5"/>
    <col width="13" customWidth="1" min="6" max="6"/>
    <col width="18" customWidth="1" min="7" max="7"/>
    <col width="11" customWidth="1" min="8" max="8"/>
    <col width="40" customWidth="1" min="9" max="9"/>
    <col width="10" customWidth="1" min="10" max="10"/>
  </cols>
  <sheetData>
    <row r="1" ht="30" customHeight="1">
      <c r="A1" s="23" t="inlineStr">
        <is>
          <t>Business, Legal &amp; Insurance</t>
        </is>
      </c>
    </row>
    <row r="2" ht="20" customHeight="1">
      <c r="A2" s="8" t="inlineStr">
        <is>
          <t>Entity, contracts and coverage. Insurance rows are informational only — consult a licensed broker; this is not insurance or financial advice.</t>
        </is>
      </c>
    </row>
    <row r="3" ht="28" customHeight="1">
      <c r="A3" s="9" t="inlineStr">
        <is>
          <t>ID</t>
        </is>
      </c>
      <c r="B3" s="9" t="inlineStr">
        <is>
          <t>Area</t>
        </is>
      </c>
      <c r="C3" s="9" t="inlineStr">
        <is>
          <t>Task</t>
        </is>
      </c>
      <c r="D3" s="9" t="inlineStr">
        <is>
          <t>Why it matters</t>
        </is>
      </c>
      <c r="E3" s="9" t="inlineStr">
        <is>
          <t>Priority</t>
        </is>
      </c>
      <c r="F3" s="9" t="inlineStr">
        <is>
          <t>Status</t>
        </is>
      </c>
      <c r="G3" s="9" t="inlineStr">
        <is>
          <t>Owner</t>
        </is>
      </c>
      <c r="H3" s="9" t="inlineStr">
        <is>
          <t>Depends on</t>
        </is>
      </c>
      <c r="I3" s="9" t="inlineStr">
        <is>
          <t>Next action / notes</t>
        </is>
      </c>
      <c r="J3" s="9" t="inlineStr">
        <is>
          <t>Phase</t>
        </is>
      </c>
    </row>
    <row r="4" ht="42" customHeight="1">
      <c r="A4" s="24" t="inlineStr">
        <is>
          <t>BI-01</t>
        </is>
      </c>
      <c r="B4" s="24" t="inlineStr">
        <is>
          <t>Entity</t>
        </is>
      </c>
      <c r="C4" s="24" t="inlineStr">
        <is>
          <t>Confirm LLC formation, registered agent, and a current operating agreement.</t>
        </is>
      </c>
      <c r="D4" s="24" t="inlineStr">
        <is>
          <t>Contracts require a valid, in-good-standing legal entity.</t>
        </is>
      </c>
      <c r="E4" s="24" t="inlineStr">
        <is>
          <t>P0</t>
        </is>
      </c>
      <c r="F4" s="24" t="inlineStr">
        <is>
          <t>Not started</t>
        </is>
      </c>
      <c r="G4" s="24" t="inlineStr">
        <is>
          <t>Michael</t>
        </is>
      </c>
      <c r="H4" s="24" t="inlineStr"/>
      <c r="I4" s="24" t="inlineStr">
        <is>
          <t>Confirm exact legal entity — security.html footer says 'PBC', other materials imply LLC; make consistent.</t>
        </is>
      </c>
      <c r="J4" s="30" t="inlineStr">
        <is>
          <t>Phase 1</t>
        </is>
      </c>
    </row>
    <row r="5" ht="42" customHeight="1">
      <c r="A5" s="25" t="inlineStr">
        <is>
          <t>BI-02</t>
        </is>
      </c>
      <c r="B5" s="25" t="inlineStr">
        <is>
          <t>Tax</t>
        </is>
      </c>
      <c r="C5" s="25" t="inlineStr">
        <is>
          <t>Have EIN + a signed W-9 ready to hand to districts.</t>
        </is>
      </c>
      <c r="D5" s="25" t="inlineStr">
        <is>
          <t>Districts require a W-9 to set you up as a vendor/payee.</t>
        </is>
      </c>
      <c r="E5" s="25" t="inlineStr">
        <is>
          <t>P0</t>
        </is>
      </c>
      <c r="F5" s="25" t="inlineStr">
        <is>
          <t>Not started</t>
        </is>
      </c>
      <c r="G5" s="25" t="inlineStr">
        <is>
          <t>Michael</t>
        </is>
      </c>
      <c r="H5" s="25" t="inlineStr">
        <is>
          <t>BI-01</t>
        </is>
      </c>
      <c r="I5" s="25" t="inlineStr">
        <is>
          <t>Keep a signed W-9 on file.</t>
        </is>
      </c>
      <c r="J5" s="31" t="inlineStr">
        <is>
          <t>Phase 1</t>
        </is>
      </c>
    </row>
    <row r="6" ht="42" customHeight="1">
      <c r="A6" s="24" t="inlineStr">
        <is>
          <t>BI-03</t>
        </is>
      </c>
      <c r="B6" s="24" t="inlineStr">
        <is>
          <t>Banking</t>
        </is>
      </c>
      <c r="C6" s="24" t="inlineStr">
        <is>
          <t>Business bank account + clean accounting separation.</t>
        </is>
      </c>
      <c r="D6" s="24" t="inlineStr">
        <is>
          <t>Basic operations + audit readiness.</t>
        </is>
      </c>
      <c r="E6" s="24" t="inlineStr">
        <is>
          <t>P1</t>
        </is>
      </c>
      <c r="F6" s="24" t="inlineStr">
        <is>
          <t>In progress</t>
        </is>
      </c>
      <c r="G6" s="24" t="inlineStr">
        <is>
          <t>Michael</t>
        </is>
      </c>
      <c r="H6" s="24" t="inlineStr"/>
      <c r="I6" s="24" t="inlineStr">
        <is>
          <t>Confirm (bookkeeping already underway).</t>
        </is>
      </c>
      <c r="J6" s="30" t="inlineStr">
        <is>
          <t>Phase 1</t>
        </is>
      </c>
    </row>
    <row r="7" ht="42" customHeight="1">
      <c r="A7" s="25" t="inlineStr">
        <is>
          <t>BI-04</t>
        </is>
      </c>
      <c r="B7" s="25" t="inlineStr">
        <is>
          <t>Insurance</t>
        </is>
      </c>
      <c r="C7" s="25" t="inlineStr">
        <is>
          <t>Obtain Cyber Liability / data-breach insurance (districts often require $1-2M).</t>
        </is>
      </c>
      <c r="D7" s="25" t="inlineStr">
        <is>
          <t>Frequently a contractual requirement and protects the business after an incident.</t>
        </is>
      </c>
      <c r="E7" s="25" t="inlineStr">
        <is>
          <t>P0</t>
        </is>
      </c>
      <c r="F7" s="25" t="inlineStr">
        <is>
          <t>In progress</t>
        </is>
      </c>
      <c r="G7" s="25" t="inlineStr">
        <is>
          <t>Michael + Broker</t>
        </is>
      </c>
      <c r="H7" s="25" t="inlineStr"/>
      <c r="I7" s="25" t="inlineStr">
        <is>
          <t>Michael obtaining cyber liability coverage (broker).</t>
        </is>
      </c>
      <c r="J7" s="31" t="inlineStr">
        <is>
          <t>Phase 1</t>
        </is>
      </c>
    </row>
    <row r="8" ht="42" customHeight="1">
      <c r="A8" s="24" t="inlineStr">
        <is>
          <t>BI-05</t>
        </is>
      </c>
      <c r="B8" s="24" t="inlineStr">
        <is>
          <t>Insurance</t>
        </is>
      </c>
      <c r="C8" s="24" t="inlineStr">
        <is>
          <t>Obtain Technology E&amp;O / Professional Liability.</t>
        </is>
      </c>
      <c r="D8" s="24" t="inlineStr">
        <is>
          <t>Covers claims that your software caused a customer loss.</t>
        </is>
      </c>
      <c r="E8" s="24" t="inlineStr">
        <is>
          <t>P0</t>
        </is>
      </c>
      <c r="F8" s="24" t="inlineStr">
        <is>
          <t>In progress</t>
        </is>
      </c>
      <c r="G8" s="24" t="inlineStr">
        <is>
          <t>Michael + Broker</t>
        </is>
      </c>
      <c r="H8" s="24" t="inlineStr"/>
      <c r="I8" s="24" t="inlineStr">
        <is>
          <t>Michael obtaining technology E&amp;O coverage (broker).</t>
        </is>
      </c>
      <c r="J8" s="30" t="inlineStr">
        <is>
          <t>Phase 1</t>
        </is>
      </c>
    </row>
    <row r="9" ht="42" customHeight="1">
      <c r="A9" s="25" t="inlineStr">
        <is>
          <t>BI-06</t>
        </is>
      </c>
      <c r="B9" s="25" t="inlineStr">
        <is>
          <t>Insurance</t>
        </is>
      </c>
      <c r="C9" s="25" t="inlineStr">
        <is>
          <t>General Liability (commonly a BOP bundle).</t>
        </is>
      </c>
      <c r="D9" s="25" t="inlineStr">
        <is>
          <t>A common contract requirement.</t>
        </is>
      </c>
      <c r="E9" s="25" t="inlineStr">
        <is>
          <t>P1</t>
        </is>
      </c>
      <c r="F9" s="25" t="inlineStr">
        <is>
          <t>In progress</t>
        </is>
      </c>
      <c r="G9" s="25" t="inlineStr">
        <is>
          <t>Michael + Broker</t>
        </is>
      </c>
      <c r="H9" s="25" t="inlineStr"/>
      <c r="I9" s="25" t="inlineStr">
        <is>
          <t>Michael obtaining general liability / BOP (broker).</t>
        </is>
      </c>
      <c r="J9" s="31" t="inlineStr">
        <is>
          <t>Phase 1</t>
        </is>
      </c>
    </row>
    <row r="10" ht="42" customHeight="1">
      <c r="A10" s="24" t="inlineStr">
        <is>
          <t>BI-07</t>
        </is>
      </c>
      <c r="B10" s="24" t="inlineStr">
        <is>
          <t>Insurance</t>
        </is>
      </c>
      <c r="C10" s="24" t="inlineStr">
        <is>
          <t>Keep a Certificate of Insurance (COI) ready for procurement.</t>
        </is>
      </c>
      <c r="D10" s="24" t="inlineStr">
        <is>
          <t>Districts request a COI before signing.</t>
        </is>
      </c>
      <c r="E10" s="24" t="inlineStr">
        <is>
          <t>P1</t>
        </is>
      </c>
      <c r="F10" s="24" t="inlineStr">
        <is>
          <t>Not started</t>
        </is>
      </c>
      <c r="G10" s="24" t="inlineStr">
        <is>
          <t>Michael</t>
        </is>
      </c>
      <c r="H10" s="24" t="inlineStr">
        <is>
          <t>BI-04</t>
        </is>
      </c>
      <c r="I10" s="24" t="inlineStr">
        <is>
          <t>Store a current COI to attach to questionnaires.</t>
        </is>
      </c>
      <c r="J10" s="30" t="inlineStr">
        <is>
          <t>Phase 1</t>
        </is>
      </c>
    </row>
    <row r="11" ht="42" customHeight="1">
      <c r="A11" s="25" t="inlineStr">
        <is>
          <t>BI-08</t>
        </is>
      </c>
      <c r="B11" s="25" t="inlineStr">
        <is>
          <t>Legal</t>
        </is>
      </c>
      <c r="C11" s="25" t="inlineStr">
        <is>
          <t>Attorney-reviewed Terms of Service (currently terms-beta.html).</t>
        </is>
      </c>
      <c r="D11" s="25" t="inlineStr">
        <is>
          <t>“Beta” terms are not adequate for paid district contracts.</t>
        </is>
      </c>
      <c r="E11" s="25" t="inlineStr">
        <is>
          <t>P0</t>
        </is>
      </c>
      <c r="F11" s="25" t="inlineStr">
        <is>
          <t>In progress</t>
        </is>
      </c>
      <c r="G11" s="25" t="inlineStr">
        <is>
          <t>Attorney</t>
        </is>
      </c>
      <c r="H11" s="25" t="inlineStr"/>
      <c r="I11" s="25" t="inlineStr">
        <is>
          <t>Production ToS draft at compliance/09_Terms_of_Service_DRAFT.md — replaces beta agreement; attorney review then port to terms.html.</t>
        </is>
      </c>
      <c r="J11" s="31" t="inlineStr">
        <is>
          <t>Phase 1</t>
        </is>
      </c>
    </row>
    <row r="12" ht="42" customHeight="1">
      <c r="A12" s="24" t="inlineStr">
        <is>
          <t>BI-09</t>
        </is>
      </c>
      <c r="B12" s="24" t="inlineStr">
        <is>
          <t>Legal</t>
        </is>
      </c>
      <c r="C12" s="24" t="inlineStr">
        <is>
          <t>Master Services / Subscription Agreement for schools.</t>
        </is>
      </c>
      <c r="D12" s="24" t="inlineStr">
        <is>
          <t>The commercial contract for paying customers.</t>
        </is>
      </c>
      <c r="E12" s="24" t="inlineStr">
        <is>
          <t>P0</t>
        </is>
      </c>
      <c r="F12" s="24" t="inlineStr">
        <is>
          <t>In progress</t>
        </is>
      </c>
      <c r="G12" s="24" t="inlineStr">
        <is>
          <t>Attorney</t>
        </is>
      </c>
      <c r="H12" s="24" t="inlineStr"/>
      <c r="I12" s="24" t="inlineStr">
        <is>
          <t>MSA skeleton at compliance/10_Master_Services_Agreement_SKELETON.md — attorney to draft; contract doc, not a web page.</t>
        </is>
      </c>
      <c r="J12" s="30" t="inlineStr">
        <is>
          <t>Phase 1</t>
        </is>
      </c>
    </row>
    <row r="13" ht="42" customHeight="1">
      <c r="A13" s="25" t="inlineStr">
        <is>
          <t>BI-10</t>
        </is>
      </c>
      <c r="B13" s="25" t="inlineStr">
        <is>
          <t>Legal</t>
        </is>
      </c>
      <c r="C13" s="25" t="inlineStr">
        <is>
          <t>DPA template as a contract exhibit (mirrors FE-02).</t>
        </is>
      </c>
      <c r="D13" s="25" t="inlineStr">
        <is>
          <t>The data-handling terms of the MSA.</t>
        </is>
      </c>
      <c r="E13" s="25" t="inlineStr">
        <is>
          <t>P0</t>
        </is>
      </c>
      <c r="F13" s="25" t="inlineStr">
        <is>
          <t>Not started</t>
        </is>
      </c>
      <c r="G13" s="25" t="inlineStr">
        <is>
          <t>Attorney</t>
        </is>
      </c>
      <c r="H13" s="25" t="inlineStr">
        <is>
          <t>FE-02</t>
        </is>
      </c>
      <c r="I13" s="25" t="inlineStr">
        <is>
          <t>Keep the legal and product copies in sync.</t>
        </is>
      </c>
      <c r="J13" s="31" t="inlineStr">
        <is>
          <t>Phase 1</t>
        </is>
      </c>
    </row>
    <row r="14" ht="42" customHeight="1">
      <c r="A14" s="24" t="inlineStr">
        <is>
          <t>BI-11</t>
        </is>
      </c>
      <c r="B14" s="24" t="inlineStr">
        <is>
          <t>Legal</t>
        </is>
      </c>
      <c r="C14" s="24" t="inlineStr">
        <is>
          <t>Acceptable Use Policy.</t>
        </is>
      </c>
      <c r="D14" s="24" t="inlineStr">
        <is>
          <t>Governs how customers may use the product.</t>
        </is>
      </c>
      <c r="E14" s="24" t="inlineStr">
        <is>
          <t>P2</t>
        </is>
      </c>
      <c r="F14" s="24" t="inlineStr">
        <is>
          <t>In progress</t>
        </is>
      </c>
      <c r="G14" s="24" t="inlineStr">
        <is>
          <t>Michael</t>
        </is>
      </c>
      <c r="H14" s="24" t="inlineStr"/>
      <c r="I14" s="24" t="inlineStr">
        <is>
          <t>AUP draft at compliance/11_Acceptable_Use_Policy_DRAFT.md.</t>
        </is>
      </c>
      <c r="J14" s="30" t="inlineStr">
        <is>
          <t>Phase 1</t>
        </is>
      </c>
    </row>
    <row r="15" ht="42" customHeight="1">
      <c r="A15" s="25" t="inlineStr">
        <is>
          <t>BI-12</t>
        </is>
      </c>
      <c r="B15" s="25" t="inlineStr">
        <is>
          <t>IP</t>
        </is>
      </c>
      <c r="C15" s="25" t="inlineStr">
        <is>
          <t>Consider a trademark for “Cohort Logic”.</t>
        </is>
      </c>
      <c r="D15" s="25" t="inlineStr">
        <is>
          <t>Brand protection as you scale nationally.</t>
        </is>
      </c>
      <c r="E15" s="25" t="inlineStr">
        <is>
          <t>P2</t>
        </is>
      </c>
      <c r="F15" s="25" t="inlineStr">
        <is>
          <t>Not started</t>
        </is>
      </c>
      <c r="G15" s="25" t="inlineStr">
        <is>
          <t>Michael</t>
        </is>
      </c>
      <c r="H15" s="25" t="inlineStr"/>
      <c r="I15" s="25" t="inlineStr">
        <is>
          <t>Optional; search availability first.</t>
        </is>
      </c>
      <c r="J15" s="32" t="inlineStr">
        <is>
          <t>Phase 2</t>
        </is>
      </c>
    </row>
    <row r="16" ht="42" customHeight="1">
      <c r="A16" s="24" t="inlineStr">
        <is>
          <t>BI-13</t>
        </is>
      </c>
      <c r="B16" s="24" t="inlineStr">
        <is>
          <t>Procurement</t>
        </is>
      </c>
      <c r="C16" s="24" t="inlineStr">
        <is>
          <t>Prepare to register in district/state vendor systems as required.</t>
        </is>
      </c>
      <c r="D16" s="24" t="inlineStr">
        <is>
          <t>Some districts require formal vendor registration.</t>
        </is>
      </c>
      <c r="E16" s="24" t="inlineStr">
        <is>
          <t>P2</t>
        </is>
      </c>
      <c r="F16" s="24" t="inlineStr">
        <is>
          <t>Not started</t>
        </is>
      </c>
      <c r="G16" s="24" t="inlineStr">
        <is>
          <t>Michael</t>
        </is>
      </c>
      <c r="H16" s="24" t="inlineStr"/>
      <c r="I16" s="24" t="inlineStr">
        <is>
          <t>Handle as encountered.</t>
        </is>
      </c>
      <c r="J16" s="32" t="inlineStr">
        <is>
          <t>Phase 2</t>
        </is>
      </c>
    </row>
    <row r="17" ht="42" customHeight="1">
      <c r="A17" s="25" t="inlineStr">
        <is>
          <t>BI-14</t>
        </is>
      </c>
      <c r="B17" s="25" t="inlineStr">
        <is>
          <t>Counsel</t>
        </is>
      </c>
      <c r="C17" s="25" t="inlineStr">
        <is>
          <t>Identify ed-tech/privacy legal counsel + breach counsel.</t>
        </is>
      </c>
      <c r="D17" s="25" t="inlineStr">
        <is>
          <t>Speed matters for both contract review and incident response.</t>
        </is>
      </c>
      <c r="E17" s="25" t="inlineStr">
        <is>
          <t>P1</t>
        </is>
      </c>
      <c r="F17" s="25" t="inlineStr">
        <is>
          <t>Not started</t>
        </is>
      </c>
      <c r="G17" s="25" t="inlineStr">
        <is>
          <t>Michael</t>
        </is>
      </c>
      <c r="H17" s="25" t="inlineStr"/>
      <c r="I17" s="25" t="inlineStr">
        <is>
          <t>Have someone on call before the first deal.</t>
        </is>
      </c>
      <c r="J17" s="31" t="inlineStr">
        <is>
          <t>Phase 1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mergeCells count="2">
    <mergeCell ref="A1:I1"/>
    <mergeCell ref="A2:I2"/>
  </mergeCells>
  <conditionalFormatting sqref="F4:F17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E4:E17">
    <cfRule type="cellIs" priority="5" operator="equal" dxfId="4">
      <formula>"P0"</formula>
    </cfRule>
    <cfRule type="cellIs" priority="6" operator="equal" dxfId="5">
      <formula>"P1"</formula>
    </cfRule>
    <cfRule type="cellIs" priority="7" operator="equal" dxfId="6">
      <formula>"P2"</formula>
    </cfRule>
  </conditionalFormatting>
  <dataValidations count="3">
    <dataValidation sqref="F4:F200" showDropDown="0" showInputMessage="0" showErrorMessage="0" allowBlank="1" type="list">
      <formula1>"Not started,In progress,Blocked,Done,N/A"</formula1>
    </dataValidation>
    <dataValidation sqref="E4:E200" showDropDown="0" showInputMessage="0" showErrorMessage="0" allowBlank="1" type="list">
      <formula1>"P0,P1,P2"</formula1>
    </dataValidation>
    <dataValidation sqref="J4:J200" showDropDown="0" showInputMessage="0" showErrorMessage="0" allowBlank="1" type="list">
      <formula1>"Phase 1,Phase 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40" customWidth="1" min="4" max="4"/>
    <col width="9" customWidth="1" min="5" max="5"/>
    <col width="13" customWidth="1" min="6" max="6"/>
    <col width="18" customWidth="1" min="7" max="7"/>
    <col width="11" customWidth="1" min="8" max="8"/>
    <col width="40" customWidth="1" min="9" max="9"/>
    <col width="10" customWidth="1" min="10" max="10"/>
  </cols>
  <sheetData>
    <row r="1" ht="30" customHeight="1">
      <c r="A1" s="23" t="inlineStr">
        <is>
          <t>Product &amp; Go-Live Readiness</t>
        </is>
      </c>
    </row>
    <row r="2" ht="20" customHeight="1">
      <c r="A2" s="8" t="inlineStr">
        <is>
          <t>The commercial and product gaps between “works” and “sellable nationwide.”</t>
        </is>
      </c>
    </row>
    <row r="3" ht="28" customHeight="1">
      <c r="A3" s="9" t="inlineStr">
        <is>
          <t>ID</t>
        </is>
      </c>
      <c r="B3" s="9" t="inlineStr">
        <is>
          <t>Area</t>
        </is>
      </c>
      <c r="C3" s="9" t="inlineStr">
        <is>
          <t>Task</t>
        </is>
      </c>
      <c r="D3" s="9" t="inlineStr">
        <is>
          <t>Why it matters</t>
        </is>
      </c>
      <c r="E3" s="9" t="inlineStr">
        <is>
          <t>Priority</t>
        </is>
      </c>
      <c r="F3" s="9" t="inlineStr">
        <is>
          <t>Status</t>
        </is>
      </c>
      <c r="G3" s="9" t="inlineStr">
        <is>
          <t>Owner</t>
        </is>
      </c>
      <c r="H3" s="9" t="inlineStr">
        <is>
          <t>Depends on</t>
        </is>
      </c>
      <c r="I3" s="9" t="inlineStr">
        <is>
          <t>Next action / notes</t>
        </is>
      </c>
      <c r="J3" s="9" t="inlineStr">
        <is>
          <t>Phase</t>
        </is>
      </c>
    </row>
    <row r="4" ht="42" customHeight="1">
      <c r="A4" s="24" t="inlineStr">
        <is>
          <t>PR-01</t>
        </is>
      </c>
      <c r="B4" s="24" t="inlineStr">
        <is>
          <t>Billing</t>
        </is>
      </c>
      <c r="C4" s="24" t="inlineStr">
        <is>
          <t>Integrate a payment processor (Stripe) for subscriptions; wire to the subscriptions table.</t>
        </is>
      </c>
      <c r="D4" s="24" t="inlineStr">
        <is>
          <t>You cannot sell without billing, and there is no processor yet.</t>
        </is>
      </c>
      <c r="E4" s="24" t="inlineStr">
        <is>
          <t>P0</t>
        </is>
      </c>
      <c r="F4" s="24" t="inlineStr">
        <is>
          <t>Not started</t>
        </is>
      </c>
      <c r="G4" s="24" t="inlineStr">
        <is>
          <t>Michael + Claude</t>
        </is>
      </c>
      <c r="H4" s="24" t="inlineStr"/>
      <c r="I4" s="24" t="inlineStr">
        <is>
          <t>Design plans + checkout + webhooks.</t>
        </is>
      </c>
      <c r="J4" s="30" t="inlineStr">
        <is>
          <t>Phase 1</t>
        </is>
      </c>
    </row>
    <row r="5" ht="42" customHeight="1">
      <c r="A5" s="25" t="inlineStr">
        <is>
          <t>PR-02</t>
        </is>
      </c>
      <c r="B5" s="25" t="inlineStr">
        <is>
          <t>Onboarding</t>
        </is>
      </c>
      <c r="C5" s="25" t="inlineStr">
        <is>
          <t>Build/document the school onboarding flow (provision school, first admin, roster import).</t>
        </is>
      </c>
      <c r="D5" s="25" t="inlineStr">
        <is>
          <t>A smooth setup drives conversion and reduces support.</t>
        </is>
      </c>
      <c r="E5" s="25" t="inlineStr">
        <is>
          <t>P1</t>
        </is>
      </c>
      <c r="F5" s="25" t="inlineStr">
        <is>
          <t>In progress</t>
        </is>
      </c>
      <c r="G5" s="25" t="inlineStr">
        <is>
          <t>Michael + Claude</t>
        </is>
      </c>
      <c r="H5" s="25" t="inlineStr"/>
      <c r="I5" s="25" t="inlineStr">
        <is>
          <t>Admin tooling exists; formalize the flow.</t>
        </is>
      </c>
      <c r="J5" s="31" t="inlineStr">
        <is>
          <t>Phase 1</t>
        </is>
      </c>
    </row>
    <row r="6" ht="42" customHeight="1">
      <c r="A6" s="24" t="inlineStr">
        <is>
          <t>PR-03</t>
        </is>
      </c>
      <c r="B6" s="24" t="inlineStr">
        <is>
          <t>Support</t>
        </is>
      </c>
      <c r="C6" s="24" t="inlineStr">
        <is>
          <t>Define support channels + SLA + response-time targets.</t>
        </is>
      </c>
      <c r="D6" s="24" t="inlineStr">
        <is>
          <t>A questionnaire item and a trust signal.</t>
        </is>
      </c>
      <c r="E6" s="24" t="inlineStr">
        <is>
          <t>P1</t>
        </is>
      </c>
      <c r="F6" s="24" t="inlineStr">
        <is>
          <t>Not started</t>
        </is>
      </c>
      <c r="G6" s="24" t="inlineStr">
        <is>
          <t>Michael</t>
        </is>
      </c>
      <c r="H6" s="24" t="inlineStr"/>
      <c r="I6" s="24" t="inlineStr">
        <is>
          <t>e.g. email + help desk; publish response targets.</t>
        </is>
      </c>
      <c r="J6" s="30" t="inlineStr">
        <is>
          <t>Phase 1</t>
        </is>
      </c>
    </row>
    <row r="7" ht="42" customHeight="1">
      <c r="A7" s="25" t="inlineStr">
        <is>
          <t>PR-04</t>
        </is>
      </c>
      <c r="B7" s="25" t="inlineStr">
        <is>
          <t>Docs</t>
        </is>
      </c>
      <c r="C7" s="25" t="inlineStr">
        <is>
          <t>Help center / user documentation.</t>
        </is>
      </c>
      <c r="D7" s="25" t="inlineStr">
        <is>
          <t>Reduces support load; a procurement plus.</t>
        </is>
      </c>
      <c r="E7" s="25" t="inlineStr">
        <is>
          <t>P2</t>
        </is>
      </c>
      <c r="F7" s="25" t="inlineStr">
        <is>
          <t>Not started</t>
        </is>
      </c>
      <c r="G7" s="25" t="inlineStr">
        <is>
          <t>Michael</t>
        </is>
      </c>
      <c r="H7" s="25" t="inlineStr"/>
      <c r="I7" s="25" t="inlineStr">
        <is>
          <t>Start with top workflows per product.</t>
        </is>
      </c>
      <c r="J7" s="31" t="inlineStr">
        <is>
          <t>Phase 1</t>
        </is>
      </c>
    </row>
    <row r="8" ht="42" customHeight="1">
      <c r="A8" s="24" t="inlineStr">
        <is>
          <t>PR-05</t>
        </is>
      </c>
      <c r="B8" s="24" t="inlineStr">
        <is>
          <t>Accessibility</t>
        </is>
      </c>
      <c r="C8" s="24" t="inlineStr">
        <is>
          <t>Commission a WCAG 2.1 AA audit and produce a VPAT.</t>
        </is>
      </c>
      <c r="D8" s="24" t="inlineStr">
        <is>
          <t>Increasingly required in K-12 procurement (Section 508 / ADA).</t>
        </is>
      </c>
      <c r="E8" s="24" t="inlineStr">
        <is>
          <t>P1</t>
        </is>
      </c>
      <c r="F8" s="24" t="inlineStr">
        <is>
          <t>Not started</t>
        </is>
      </c>
      <c r="G8" s="24" t="inlineStr">
        <is>
          <t>Michael</t>
        </is>
      </c>
      <c r="H8" s="24" t="inlineStr"/>
      <c r="I8" s="24" t="inlineStr">
        <is>
          <t>Feeds VQ-13.</t>
        </is>
      </c>
      <c r="J8" s="30" t="inlineStr">
        <is>
          <t>Phase 1</t>
        </is>
      </c>
    </row>
    <row r="9" ht="42" customHeight="1">
      <c r="A9" s="25" t="inlineStr">
        <is>
          <t>PR-06</t>
        </is>
      </c>
      <c r="B9" s="25" t="inlineStr">
        <is>
          <t>SSO / rostering</t>
        </is>
      </c>
      <c r="C9" s="25" t="inlineStr">
        <is>
          <t>Roadmap Google / Clever / ClassLink SSO + roster sync.</t>
        </is>
      </c>
      <c r="D9" s="25" t="inlineStr">
        <is>
          <t>A major K-12 adoption and IT-approval factor.</t>
        </is>
      </c>
      <c r="E9" s="25" t="inlineStr">
        <is>
          <t>P1</t>
        </is>
      </c>
      <c r="F9" s="25" t="inlineStr">
        <is>
          <t>Not started</t>
        </is>
      </c>
      <c r="G9" s="25" t="inlineStr">
        <is>
          <t>Michael + Claude</t>
        </is>
      </c>
      <c r="H9" s="25" t="inlineStr"/>
      <c r="I9" s="25" t="inlineStr">
        <is>
          <t>Feeds VQ-14; sequence after billing.</t>
        </is>
      </c>
      <c r="J9" s="32" t="inlineStr">
        <is>
          <t>Phase 2</t>
        </is>
      </c>
    </row>
    <row r="10" ht="42" customHeight="1">
      <c r="A10" s="24" t="inlineStr">
        <is>
          <t>PR-07</t>
        </is>
      </c>
      <c r="B10" s="24" t="inlineStr">
        <is>
          <t>Reliability</t>
        </is>
      </c>
      <c r="C10" s="24" t="inlineStr">
        <is>
          <t>Publish an uptime SLA commitment + status page.</t>
        </is>
      </c>
      <c r="D10" s="24" t="inlineStr">
        <is>
          <t>Ties to SE-14; buyers ask for it.</t>
        </is>
      </c>
      <c r="E10" s="24" t="inlineStr">
        <is>
          <t>P2</t>
        </is>
      </c>
      <c r="F10" s="24" t="inlineStr">
        <is>
          <t>Not started</t>
        </is>
      </c>
      <c r="G10" s="24" t="inlineStr">
        <is>
          <t>Michael</t>
        </is>
      </c>
      <c r="H10" s="24" t="inlineStr">
        <is>
          <t>SE-14</t>
        </is>
      </c>
      <c r="I10" s="24" t="inlineStr"/>
      <c r="J10" s="30" t="inlineStr">
        <is>
          <t>Phase 1</t>
        </is>
      </c>
    </row>
    <row r="11" ht="42" customHeight="1">
      <c r="A11" s="25" t="inlineStr">
        <is>
          <t>PR-08</t>
        </is>
      </c>
      <c r="B11" s="25" t="inlineStr">
        <is>
          <t>Infra cleanup</t>
        </is>
      </c>
      <c r="C11" s="25" t="inlineStr">
        <is>
          <t>Delete the legacy Netlify site; confirm a single production path.</t>
        </is>
      </c>
      <c r="D11" s="25" t="inlineStr">
        <is>
          <t>Reduces attack surface and deployment confusion.</t>
        </is>
      </c>
      <c r="E11" s="25" t="inlineStr">
        <is>
          <t>P2</t>
        </is>
      </c>
      <c r="F11" s="25" t="inlineStr">
        <is>
          <t>Not started</t>
        </is>
      </c>
      <c r="G11" s="25" t="inlineStr">
        <is>
          <t>Michael</t>
        </is>
      </c>
      <c r="H11" s="25" t="inlineStr"/>
      <c r="I11" s="25" t="inlineStr">
        <is>
          <t>Already in CLAUDE.md pending.</t>
        </is>
      </c>
      <c r="J11" s="31" t="inlineStr">
        <is>
          <t>Phase 1</t>
        </is>
      </c>
    </row>
    <row r="12" ht="42" customHeight="1">
      <c r="A12" s="24" t="inlineStr">
        <is>
          <t>PR-09</t>
        </is>
      </c>
      <c r="B12" s="24" t="inlineStr">
        <is>
          <t>Pricing</t>
        </is>
      </c>
      <c r="C12" s="24" t="inlineStr">
        <is>
          <t>Finalize pricing and plan tiers (pricing.html exists).</t>
        </is>
      </c>
      <c r="D12" s="24" t="inlineStr">
        <is>
          <t>Needed for billing and sales conversations.</t>
        </is>
      </c>
      <c r="E12" s="24" t="inlineStr">
        <is>
          <t>P1</t>
        </is>
      </c>
      <c r="F12" s="24" t="inlineStr">
        <is>
          <t>In progress</t>
        </is>
      </c>
      <c r="G12" s="24" t="inlineStr">
        <is>
          <t>Michael</t>
        </is>
      </c>
      <c r="H12" s="24" t="inlineStr"/>
      <c r="I12" s="24" t="inlineStr">
        <is>
          <t>Confirm tiers before wiring Stripe.</t>
        </is>
      </c>
      <c r="J12" s="30" t="inlineStr">
        <is>
          <t>Phase 1</t>
        </is>
      </c>
    </row>
    <row r="13" ht="42" customHeight="1">
      <c r="A13" s="25" t="inlineStr">
        <is>
          <t>PR-10</t>
        </is>
      </c>
      <c r="B13" s="25" t="inlineStr">
        <is>
          <t>Trust page</t>
        </is>
      </c>
      <c r="C13" s="25" t="inlineStr">
        <is>
          <t>Expand security.html into a public Trust/Security page (controls, sub-processors, compliance posture).</t>
        </is>
      </c>
      <c r="D13" s="25" t="inlineStr">
        <is>
          <t>A sales asset that pre-answers most questionnaires.</t>
        </is>
      </c>
      <c r="E13" s="25" t="inlineStr">
        <is>
          <t>P1</t>
        </is>
      </c>
      <c r="F13" s="25" t="inlineStr">
        <is>
          <t>In progress</t>
        </is>
      </c>
      <c r="G13" s="25" t="inlineStr">
        <is>
          <t>Michael + Claude</t>
        </is>
      </c>
      <c r="H13" s="25" t="inlineStr">
        <is>
          <t>FE-05</t>
        </is>
      </c>
      <c r="I13" s="25" t="inlineStr">
        <is>
          <t>Trust page content drafted at compliance/15_Trust_Page_Content.md — product-aware reframe; port to security.html in website batch.</t>
        </is>
      </c>
      <c r="J13" s="31" t="inlineStr">
        <is>
          <t>Phase 1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mergeCells count="2">
    <mergeCell ref="A1:I1"/>
    <mergeCell ref="A2:I2"/>
  </mergeCells>
  <conditionalFormatting sqref="F4:F13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E4:E13">
    <cfRule type="cellIs" priority="5" operator="equal" dxfId="4">
      <formula>"P0"</formula>
    </cfRule>
    <cfRule type="cellIs" priority="6" operator="equal" dxfId="5">
      <formula>"P1"</formula>
    </cfRule>
    <cfRule type="cellIs" priority="7" operator="equal" dxfId="6">
      <formula>"P2"</formula>
    </cfRule>
  </conditionalFormatting>
  <dataValidations count="3">
    <dataValidation sqref="F4:F200" showDropDown="0" showInputMessage="0" showErrorMessage="0" allowBlank="1" type="list">
      <formula1>"Not started,In progress,Blocked,Done,N/A"</formula1>
    </dataValidation>
    <dataValidation sqref="E4:E200" showDropDown="0" showInputMessage="0" showErrorMessage="0" allowBlank="1" type="list">
      <formula1>"P0,P1,P2"</formula1>
    </dataValidation>
    <dataValidation sqref="J4:J200" showDropDown="0" showInputMessage="0" showErrorMessage="0" allowBlank="1" type="list">
      <formula1>"Phase 1,Phase 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2026-07-21T23:52:40Z</dcterms:created>
  <dcterms:modified xmlns:dcterms="http://purl.org/dc/terms/" xmlns:xsi="http://www.w3.org/2001/XMLSchema-instance" xsi:type="dcterms:W3CDTF">2026-07-22T01:10:09Z</dcterms:modified>
</cp:coreProperties>
</file>